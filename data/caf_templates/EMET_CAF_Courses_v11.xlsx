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ink/ink1.xml" ContentType="application/inkml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sha\Desktop\Desktop\neew caf\updated 4-11-2024\"/>
    </mc:Choice>
  </mc:AlternateContent>
  <xr:revisionPtr revIDLastSave="0" documentId="13_ncr:1_{168710CF-ED95-43C8-9CA1-6D48D0DF7108}" xr6:coauthVersionLast="47" xr6:coauthVersionMax="47" xr10:uidLastSave="{00000000-0000-0000-0000-000000000000}"/>
  <bookViews>
    <workbookView xWindow="-108" yWindow="-108" windowWidth="23256" windowHeight="12576" tabRatio="648" activeTab="1" xr2:uid="{00000000-000D-0000-FFFF-FFFF00000000}"/>
  </bookViews>
  <sheets>
    <sheet name="Instructions" sheetId="1" r:id="rId1"/>
    <sheet name="Course Information" sheetId="14" r:id="rId2"/>
    <sheet name="Students Names and ID" sheetId="2" r:id="rId3"/>
    <sheet name="Homework" sheetId="3" r:id="rId4"/>
    <sheet name="Quizzes" sheetId="4" r:id="rId5"/>
    <sheet name="Laboratory" sheetId="17" r:id="rId6"/>
    <sheet name="Laboratory Final" sheetId="19" state="hidden" r:id="rId7"/>
    <sheet name="Midterm 1" sheetId="6" r:id="rId8"/>
    <sheet name="Midterm 2" sheetId="22" state="hidden" r:id="rId9"/>
    <sheet name="Project" sheetId="24" r:id="rId10"/>
    <sheet name="Final Exam" sheetId="7" r:id="rId11"/>
    <sheet name="Incomplete Final" sheetId="26" state="hidden" r:id="rId12"/>
    <sheet name="Overall Grades" sheetId="15" r:id="rId13"/>
    <sheet name="Curved Overall Grades" sheetId="25" state="hidden" r:id="rId14"/>
    <sheet name="Students Survey" sheetId="8" r:id="rId15"/>
    <sheet name="Course Analysis" sheetId="9" r:id="rId16"/>
    <sheet name="Course Report" sheetId="12" r:id="rId17"/>
    <sheet name="Course Syllabus" sheetId="10" r:id="rId18"/>
    <sheet name="Grading Policy" sheetId="11" state="hidden" r:id="rId19"/>
    <sheet name="ABET SO Analysis" sheetId="27" r:id="rId20"/>
    <sheet name="PI Improvement Report" sheetId="28" r:id="rId21"/>
    <sheet name="SO-CLO Summary" sheetId="29" r:id="rId22"/>
  </sheets>
  <definedNames>
    <definedName name="_xlnm.Print_Area" localSheetId="15">'Course Analysis'!$A$1:$AC$101</definedName>
    <definedName name="_xlnm.Print_Area" localSheetId="1">'Course Information'!$A$1:$E$36</definedName>
    <definedName name="_xlnm.Print_Area" localSheetId="16">'Course Report'!$A$1:$K$52</definedName>
    <definedName name="_xlnm.Print_Area" localSheetId="3">Homework!$A$1:$Y$46</definedName>
    <definedName name="_xlnm.Print_Area" localSheetId="5">Laboratory!$A$1:$S$46</definedName>
    <definedName name="_xlnm.Print_Area" localSheetId="6">'Laboratory Final'!$A$1:$O$47</definedName>
    <definedName name="_xlnm.Print_Area" localSheetId="7">'Midterm 1'!$A$1:$AI$47</definedName>
    <definedName name="_xlnm.Print_Area" localSheetId="12">'Overall Grades'!$A$1:$L$74</definedName>
    <definedName name="_xlnm.Print_Area" localSheetId="9">Project!$A$1:$O$46</definedName>
    <definedName name="_xlnm.Print_Area" localSheetId="4">Quizzes!$A$1:$T$46</definedName>
    <definedName name="_xlnm.Print_Area" localSheetId="2">'Students Names and ID'!$A$1:$D$42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5" l="1"/>
  <c r="O42" i="27"/>
  <c r="O40" i="27"/>
  <c r="O38" i="27"/>
  <c r="O36" i="27"/>
  <c r="O34" i="27"/>
  <c r="O32" i="27"/>
  <c r="O30" i="27"/>
  <c r="O28" i="27"/>
  <c r="O26" i="27"/>
  <c r="O24" i="27"/>
  <c r="O22" i="27"/>
  <c r="O20" i="27"/>
  <c r="O18" i="27"/>
  <c r="O16" i="27"/>
  <c r="O14" i="27"/>
  <c r="C46" i="17"/>
  <c r="AA14" i="29"/>
  <c r="AA13" i="29"/>
  <c r="AA12" i="29"/>
  <c r="AA11" i="29"/>
  <c r="AA10" i="29"/>
  <c r="AA9" i="29"/>
  <c r="W10" i="29"/>
  <c r="W11" i="29"/>
  <c r="W12" i="29"/>
  <c r="W13" i="29"/>
  <c r="W14" i="29"/>
  <c r="W9" i="29"/>
  <c r="M2" i="29"/>
  <c r="M3" i="29"/>
  <c r="M4" i="29"/>
  <c r="M5" i="29"/>
  <c r="M6" i="29"/>
  <c r="M1" i="29"/>
  <c r="D44" i="8"/>
  <c r="E44" i="8"/>
  <c r="F44" i="8"/>
  <c r="G44" i="8"/>
  <c r="H44" i="8"/>
  <c r="I44" i="8"/>
  <c r="J44" i="8"/>
  <c r="K44" i="8"/>
  <c r="L44" i="8"/>
  <c r="M44" i="8"/>
  <c r="N44" i="8"/>
  <c r="C44" i="8"/>
  <c r="O42" i="29"/>
  <c r="O27" i="29"/>
  <c r="E27" i="29"/>
  <c r="O12" i="29"/>
  <c r="E42" i="29"/>
  <c r="E12" i="29"/>
  <c r="Y10" i="29" a="1"/>
  <c r="Y10" i="29" s="1"/>
  <c r="AH10" i="29" s="1"/>
  <c r="Y11" i="29" a="1"/>
  <c r="Y11" i="29" s="1"/>
  <c r="AB11" i="29" s="1"/>
  <c r="Y12" i="29" a="1"/>
  <c r="Y12" i="29" s="1"/>
  <c r="AH12" i="29" s="1"/>
  <c r="Y13" i="29" a="1"/>
  <c r="Y13" i="29" s="1"/>
  <c r="AD13" i="29" s="1"/>
  <c r="Y14" i="29" a="1"/>
  <c r="Y14" i="29" s="1"/>
  <c r="AH14" i="29" s="1"/>
  <c r="Y9" i="29" a="1"/>
  <c r="Y9" i="29" s="1"/>
  <c r="AD9" i="29" s="1"/>
  <c r="AI9" i="29" l="1"/>
  <c r="AE10" i="29"/>
  <c r="AI11" i="29"/>
  <c r="AE12" i="29"/>
  <c r="AI13" i="29"/>
  <c r="AE14" i="29"/>
  <c r="AH9" i="29"/>
  <c r="AL10" i="29"/>
  <c r="AD10" i="29"/>
  <c r="AH11" i="29"/>
  <c r="AL12" i="29"/>
  <c r="AD12" i="29"/>
  <c r="AH13" i="29"/>
  <c r="AL14" i="29"/>
  <c r="AD14" i="29"/>
  <c r="AG9" i="29"/>
  <c r="AK10" i="29"/>
  <c r="AC10" i="29"/>
  <c r="AG11" i="29"/>
  <c r="AK12" i="29"/>
  <c r="AC12" i="29"/>
  <c r="AG13" i="29"/>
  <c r="AK14" i="29"/>
  <c r="AC14" i="29"/>
  <c r="AB9" i="29"/>
  <c r="AJ11" i="29"/>
  <c r="AJ13" i="29"/>
  <c r="AF14" i="29"/>
  <c r="AJ10" i="29"/>
  <c r="AJ12" i="29"/>
  <c r="AB12" i="29"/>
  <c r="AF13" i="29"/>
  <c r="AB14" i="29"/>
  <c r="AK9" i="29"/>
  <c r="AC9" i="29"/>
  <c r="AG10" i="29"/>
  <c r="AK11" i="29"/>
  <c r="AC11" i="29"/>
  <c r="AG12" i="29"/>
  <c r="AK13" i="29"/>
  <c r="AC13" i="29"/>
  <c r="AG14" i="29"/>
  <c r="AJ9" i="29"/>
  <c r="AF10" i="29"/>
  <c r="AF12" i="29"/>
  <c r="AB13" i="29"/>
  <c r="AF9" i="29"/>
  <c r="AB10" i="29"/>
  <c r="AF11" i="29"/>
  <c r="AJ14" i="29"/>
  <c r="AE9" i="29"/>
  <c r="AI10" i="29"/>
  <c r="AE11" i="29"/>
  <c r="AI12" i="29"/>
  <c r="AE13" i="29"/>
  <c r="AI14" i="29"/>
  <c r="AL9" i="29"/>
  <c r="AL11" i="29"/>
  <c r="AD11" i="29"/>
  <c r="AL13" i="29"/>
  <c r="D12" i="29"/>
  <c r="C45" i="8"/>
  <c r="H45" i="8"/>
  <c r="I45" i="8"/>
  <c r="J45" i="8"/>
  <c r="K45" i="8"/>
  <c r="L45" i="8"/>
  <c r="M45" i="8"/>
  <c r="N45" i="8"/>
  <c r="D13" i="29" l="1"/>
  <c r="D52" i="29"/>
  <c r="D44" i="29"/>
  <c r="D49" i="29"/>
  <c r="D50" i="29"/>
  <c r="D47" i="29"/>
  <c r="D46" i="29"/>
  <c r="D42" i="29"/>
  <c r="D51" i="29"/>
  <c r="D43" i="29"/>
  <c r="D48" i="29"/>
  <c r="D53" i="29"/>
  <c r="D45" i="29"/>
  <c r="D35" i="29"/>
  <c r="D27" i="29"/>
  <c r="D34" i="29"/>
  <c r="D28" i="29"/>
  <c r="D36" i="29"/>
  <c r="D29" i="29"/>
  <c r="D33" i="29"/>
  <c r="D37" i="29"/>
  <c r="D32" i="29"/>
  <c r="D31" i="29"/>
  <c r="D38" i="29"/>
  <c r="D30" i="29"/>
  <c r="N49" i="29"/>
  <c r="N46" i="29"/>
  <c r="N52" i="29"/>
  <c r="N44" i="29"/>
  <c r="N51" i="29"/>
  <c r="N43" i="29"/>
  <c r="N47" i="29"/>
  <c r="N48" i="29"/>
  <c r="N53" i="29"/>
  <c r="N45" i="29"/>
  <c r="N50" i="29"/>
  <c r="N42" i="29"/>
  <c r="N35" i="29"/>
  <c r="N32" i="29"/>
  <c r="N37" i="29"/>
  <c r="N29" i="29"/>
  <c r="N30" i="29"/>
  <c r="N27" i="29"/>
  <c r="N34" i="29"/>
  <c r="N38" i="29"/>
  <c r="N31" i="29"/>
  <c r="N36" i="29"/>
  <c r="N28" i="29"/>
  <c r="N33" i="29"/>
  <c r="N19" i="29"/>
  <c r="N18" i="29"/>
  <c r="N13" i="29"/>
  <c r="N20" i="29"/>
  <c r="N12" i="29"/>
  <c r="N17" i="29"/>
  <c r="N21" i="29"/>
  <c r="N16" i="29"/>
  <c r="N23" i="29"/>
  <c r="N15" i="29"/>
  <c r="N22" i="29"/>
  <c r="N14" i="29"/>
  <c r="D19" i="29"/>
  <c r="D18" i="29"/>
  <c r="D17" i="29"/>
  <c r="D21" i="29"/>
  <c r="D16" i="29"/>
  <c r="D23" i="29"/>
  <c r="D15" i="29"/>
  <c r="D22" i="29"/>
  <c r="D14" i="29"/>
  <c r="D20" i="29"/>
  <c r="D45" i="8"/>
  <c r="G45" i="8" l="1"/>
  <c r="F45" i="8"/>
  <c r="E45" i="8"/>
  <c r="E36" i="28"/>
  <c r="E35" i="28"/>
  <c r="F35" i="28" l="1"/>
  <c r="T42" i="29"/>
  <c r="I30" i="29"/>
  <c r="F36" i="28"/>
  <c r="T43" i="29"/>
  <c r="E17" i="28"/>
  <c r="F17" i="28" l="1"/>
  <c r="J12" i="29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C48" i="7"/>
  <c r="D48" i="6"/>
  <c r="E48" i="6"/>
  <c r="F48" i="6"/>
  <c r="G48" i="6"/>
  <c r="H48" i="6"/>
  <c r="I48" i="6"/>
  <c r="J48" i="6"/>
  <c r="K48" i="6"/>
  <c r="L48" i="6"/>
  <c r="C48" i="6"/>
  <c r="D47" i="17"/>
  <c r="E47" i="17"/>
  <c r="F47" i="17"/>
  <c r="G47" i="17"/>
  <c r="H47" i="17"/>
  <c r="I47" i="17"/>
  <c r="J47" i="17"/>
  <c r="K47" i="17"/>
  <c r="L47" i="17"/>
  <c r="C47" i="17"/>
  <c r="D47" i="4"/>
  <c r="E47" i="4"/>
  <c r="F47" i="4"/>
  <c r="G47" i="4"/>
  <c r="H47" i="4"/>
  <c r="I47" i="4"/>
  <c r="J47" i="4"/>
  <c r="K47" i="4"/>
  <c r="L47" i="4"/>
  <c r="C47" i="4"/>
  <c r="D47" i="3"/>
  <c r="E47" i="3"/>
  <c r="F47" i="3"/>
  <c r="G47" i="3"/>
  <c r="H47" i="3"/>
  <c r="I47" i="3"/>
  <c r="J47" i="3"/>
  <c r="K47" i="3"/>
  <c r="L47" i="3"/>
  <c r="C47" i="3"/>
  <c r="D47" i="24"/>
  <c r="E47" i="24"/>
  <c r="F47" i="24"/>
  <c r="G47" i="24"/>
  <c r="H47" i="24"/>
  <c r="I47" i="24"/>
  <c r="J47" i="24"/>
  <c r="K47" i="24"/>
  <c r="L47" i="24"/>
  <c r="C47" i="24"/>
  <c r="M12" i="27" l="1"/>
  <c r="L12" i="27"/>
  <c r="K12" i="27"/>
  <c r="J12" i="27"/>
  <c r="I12" i="27"/>
  <c r="H12" i="27"/>
  <c r="B5" i="28" l="1"/>
  <c r="A5" i="28"/>
  <c r="B8" i="28"/>
  <c r="B9" i="28"/>
  <c r="B6" i="28"/>
  <c r="A7" i="28"/>
  <c r="A8" i="28"/>
  <c r="A9" i="28"/>
  <c r="A10" i="28"/>
  <c r="A6" i="28"/>
  <c r="S13" i="27" l="1"/>
  <c r="C18" i="28" l="1"/>
  <c r="C19" i="28"/>
  <c r="C20" i="28"/>
  <c r="C22" i="28"/>
  <c r="C23" i="28"/>
  <c r="C25" i="28"/>
  <c r="C26" i="28"/>
  <c r="C27" i="28"/>
  <c r="C29" i="28"/>
  <c r="C30" i="28"/>
  <c r="C32" i="28"/>
  <c r="C33" i="28"/>
  <c r="C35" i="28"/>
  <c r="C36" i="28"/>
  <c r="C17" i="28"/>
  <c r="M48" i="6" l="1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L81" i="24" l="1"/>
  <c r="K81" i="24"/>
  <c r="J81" i="24"/>
  <c r="I81" i="24"/>
  <c r="H81" i="24"/>
  <c r="G81" i="24"/>
  <c r="F81" i="24"/>
  <c r="E81" i="24"/>
  <c r="D81" i="24"/>
  <c r="C81" i="24"/>
  <c r="L79" i="24"/>
  <c r="K79" i="24"/>
  <c r="J79" i="24"/>
  <c r="I79" i="24"/>
  <c r="H79" i="24"/>
  <c r="G79" i="24"/>
  <c r="F79" i="24"/>
  <c r="E79" i="24"/>
  <c r="D79" i="24"/>
  <c r="C79" i="24"/>
  <c r="L77" i="24"/>
  <c r="K77" i="24"/>
  <c r="J77" i="24"/>
  <c r="I77" i="24"/>
  <c r="H77" i="24"/>
  <c r="G77" i="24"/>
  <c r="F77" i="24"/>
  <c r="E77" i="24"/>
  <c r="D77" i="24"/>
  <c r="C77" i="24"/>
  <c r="L75" i="24"/>
  <c r="K75" i="24"/>
  <c r="J75" i="24"/>
  <c r="I75" i="24"/>
  <c r="H75" i="24"/>
  <c r="G75" i="24"/>
  <c r="F75" i="24"/>
  <c r="E75" i="24"/>
  <c r="D75" i="24"/>
  <c r="C75" i="24"/>
  <c r="L73" i="24"/>
  <c r="K73" i="24"/>
  <c r="J73" i="24"/>
  <c r="I73" i="24"/>
  <c r="H73" i="24"/>
  <c r="G73" i="24"/>
  <c r="F73" i="24"/>
  <c r="E73" i="24"/>
  <c r="D73" i="24"/>
  <c r="C73" i="24"/>
  <c r="L71" i="24"/>
  <c r="K71" i="24"/>
  <c r="J71" i="24"/>
  <c r="I71" i="24"/>
  <c r="H71" i="24"/>
  <c r="G71" i="24"/>
  <c r="F71" i="24"/>
  <c r="E71" i="24"/>
  <c r="D71" i="24"/>
  <c r="C71" i="24"/>
  <c r="L69" i="24"/>
  <c r="K69" i="24"/>
  <c r="J69" i="24"/>
  <c r="I69" i="24"/>
  <c r="H69" i="24"/>
  <c r="G69" i="24"/>
  <c r="F69" i="24"/>
  <c r="E69" i="24"/>
  <c r="D69" i="24"/>
  <c r="C69" i="24"/>
  <c r="L67" i="24"/>
  <c r="K67" i="24"/>
  <c r="J67" i="24"/>
  <c r="I67" i="24"/>
  <c r="H67" i="24"/>
  <c r="G67" i="24"/>
  <c r="F67" i="24"/>
  <c r="E67" i="24"/>
  <c r="D67" i="24"/>
  <c r="C67" i="24"/>
  <c r="L65" i="24"/>
  <c r="K65" i="24"/>
  <c r="J65" i="24"/>
  <c r="I65" i="24"/>
  <c r="H65" i="24"/>
  <c r="G65" i="24"/>
  <c r="F65" i="24"/>
  <c r="E65" i="24"/>
  <c r="D65" i="24"/>
  <c r="C65" i="24"/>
  <c r="L63" i="24"/>
  <c r="K63" i="24"/>
  <c r="J63" i="24"/>
  <c r="I63" i="24"/>
  <c r="H63" i="24"/>
  <c r="G63" i="24"/>
  <c r="F63" i="24"/>
  <c r="E63" i="24"/>
  <c r="D63" i="24"/>
  <c r="C63" i="24"/>
  <c r="L61" i="24"/>
  <c r="K61" i="24"/>
  <c r="J61" i="24"/>
  <c r="I61" i="24"/>
  <c r="H61" i="24"/>
  <c r="G61" i="24"/>
  <c r="F61" i="24"/>
  <c r="E61" i="24"/>
  <c r="D61" i="24"/>
  <c r="C61" i="24"/>
  <c r="L59" i="24"/>
  <c r="K59" i="24"/>
  <c r="J59" i="24"/>
  <c r="I59" i="24"/>
  <c r="H59" i="24"/>
  <c r="G59" i="24"/>
  <c r="F59" i="24"/>
  <c r="E59" i="24"/>
  <c r="D59" i="24"/>
  <c r="C59" i="24"/>
  <c r="L57" i="24"/>
  <c r="K57" i="24"/>
  <c r="J57" i="24"/>
  <c r="I57" i="24"/>
  <c r="H57" i="24"/>
  <c r="G57" i="24"/>
  <c r="F57" i="24"/>
  <c r="E57" i="24"/>
  <c r="D57" i="24"/>
  <c r="C57" i="24"/>
  <c r="L55" i="24"/>
  <c r="K55" i="24"/>
  <c r="J55" i="24"/>
  <c r="I55" i="24"/>
  <c r="H55" i="24"/>
  <c r="G55" i="24"/>
  <c r="F55" i="24"/>
  <c r="E55" i="24"/>
  <c r="D55" i="24"/>
  <c r="C55" i="24"/>
  <c r="L53" i="24"/>
  <c r="K53" i="24"/>
  <c r="J53" i="24"/>
  <c r="I53" i="24"/>
  <c r="H53" i="24"/>
  <c r="G53" i="24"/>
  <c r="F53" i="24"/>
  <c r="E53" i="24"/>
  <c r="D53" i="24"/>
  <c r="D33" i="27" l="1"/>
  <c r="D32" i="27"/>
  <c r="D30" i="27"/>
  <c r="D29" i="27"/>
  <c r="D27" i="27"/>
  <c r="D26" i="27"/>
  <c r="D24" i="27"/>
  <c r="D23" i="27"/>
  <c r="D22" i="27"/>
  <c r="D20" i="27"/>
  <c r="D19" i="27"/>
  <c r="D15" i="27"/>
  <c r="D16" i="27"/>
  <c r="D17" i="27"/>
  <c r="D14" i="27"/>
  <c r="D50" i="7" l="1"/>
  <c r="E50" i="7"/>
  <c r="F50" i="7"/>
  <c r="G50" i="7"/>
  <c r="H50" i="7"/>
  <c r="I50" i="7"/>
  <c r="J50" i="7"/>
  <c r="K50" i="7"/>
  <c r="L50" i="7"/>
  <c r="C50" i="7"/>
  <c r="D49" i="17"/>
  <c r="E49" i="17"/>
  <c r="F49" i="17"/>
  <c r="G49" i="17"/>
  <c r="H49" i="17"/>
  <c r="I49" i="17"/>
  <c r="J49" i="17"/>
  <c r="K49" i="17"/>
  <c r="L49" i="17"/>
  <c r="C49" i="17"/>
  <c r="D49" i="4"/>
  <c r="E49" i="4"/>
  <c r="F49" i="4"/>
  <c r="G49" i="4"/>
  <c r="H49" i="4"/>
  <c r="I49" i="4"/>
  <c r="J49" i="4"/>
  <c r="K49" i="4"/>
  <c r="L49" i="4"/>
  <c r="C49" i="4"/>
  <c r="D49" i="3"/>
  <c r="E49" i="3"/>
  <c r="F49" i="3"/>
  <c r="G49" i="3"/>
  <c r="H49" i="3"/>
  <c r="I49" i="3"/>
  <c r="J49" i="3"/>
  <c r="K49" i="3"/>
  <c r="L49" i="3"/>
  <c r="C49" i="3"/>
  <c r="D49" i="24"/>
  <c r="E49" i="24"/>
  <c r="F49" i="24"/>
  <c r="G49" i="24"/>
  <c r="H49" i="24"/>
  <c r="I49" i="24"/>
  <c r="J49" i="24"/>
  <c r="K49" i="24"/>
  <c r="L49" i="24"/>
  <c r="C49" i="24"/>
  <c r="L82" i="7" l="1"/>
  <c r="K82" i="7"/>
  <c r="J82" i="7"/>
  <c r="I82" i="7"/>
  <c r="H82" i="7"/>
  <c r="G82" i="7"/>
  <c r="F82" i="7"/>
  <c r="E82" i="7"/>
  <c r="D82" i="7"/>
  <c r="C82" i="7"/>
  <c r="L80" i="7"/>
  <c r="K80" i="7"/>
  <c r="J80" i="7"/>
  <c r="I80" i="7"/>
  <c r="H80" i="7"/>
  <c r="G80" i="7"/>
  <c r="F80" i="7"/>
  <c r="E80" i="7"/>
  <c r="D80" i="7"/>
  <c r="C80" i="7"/>
  <c r="L78" i="7"/>
  <c r="K78" i="7"/>
  <c r="J78" i="7"/>
  <c r="I78" i="7"/>
  <c r="H78" i="7"/>
  <c r="G78" i="7"/>
  <c r="F78" i="7"/>
  <c r="E78" i="7"/>
  <c r="D78" i="7"/>
  <c r="C78" i="7"/>
  <c r="L76" i="7"/>
  <c r="K76" i="7"/>
  <c r="J76" i="7"/>
  <c r="I76" i="7"/>
  <c r="H76" i="7"/>
  <c r="G76" i="7"/>
  <c r="F76" i="7"/>
  <c r="E76" i="7"/>
  <c r="D76" i="7"/>
  <c r="C76" i="7"/>
  <c r="L74" i="7"/>
  <c r="K74" i="7"/>
  <c r="J74" i="7"/>
  <c r="I74" i="7"/>
  <c r="H74" i="7"/>
  <c r="G74" i="7"/>
  <c r="F74" i="7"/>
  <c r="E74" i="7"/>
  <c r="D74" i="7"/>
  <c r="C74" i="7"/>
  <c r="L72" i="7"/>
  <c r="K72" i="7"/>
  <c r="J72" i="7"/>
  <c r="I72" i="7"/>
  <c r="H72" i="7"/>
  <c r="G72" i="7"/>
  <c r="F72" i="7"/>
  <c r="E72" i="7"/>
  <c r="D72" i="7"/>
  <c r="C72" i="7"/>
  <c r="L70" i="7"/>
  <c r="K70" i="7"/>
  <c r="J70" i="7"/>
  <c r="I70" i="7"/>
  <c r="H70" i="7"/>
  <c r="G70" i="7"/>
  <c r="F70" i="7"/>
  <c r="E70" i="7"/>
  <c r="D70" i="7"/>
  <c r="C70" i="7"/>
  <c r="L68" i="7"/>
  <c r="K68" i="7"/>
  <c r="J68" i="7"/>
  <c r="I68" i="7"/>
  <c r="H68" i="7"/>
  <c r="G68" i="7"/>
  <c r="F68" i="7"/>
  <c r="E68" i="7"/>
  <c r="D68" i="7"/>
  <c r="C68" i="7"/>
  <c r="L66" i="7"/>
  <c r="K66" i="7"/>
  <c r="J66" i="7"/>
  <c r="I66" i="7"/>
  <c r="H66" i="7"/>
  <c r="G66" i="7"/>
  <c r="F66" i="7"/>
  <c r="E66" i="7"/>
  <c r="D66" i="7"/>
  <c r="C66" i="7"/>
  <c r="L64" i="7"/>
  <c r="K64" i="7"/>
  <c r="J64" i="7"/>
  <c r="I64" i="7"/>
  <c r="H64" i="7"/>
  <c r="G64" i="7"/>
  <c r="F64" i="7"/>
  <c r="E64" i="7"/>
  <c r="D64" i="7"/>
  <c r="C64" i="7"/>
  <c r="L62" i="7"/>
  <c r="K62" i="7"/>
  <c r="J62" i="7"/>
  <c r="I62" i="7"/>
  <c r="H62" i="7"/>
  <c r="G62" i="7"/>
  <c r="F62" i="7"/>
  <c r="E62" i="7"/>
  <c r="D62" i="7"/>
  <c r="C62" i="7"/>
  <c r="L60" i="7"/>
  <c r="K60" i="7"/>
  <c r="J60" i="7"/>
  <c r="I60" i="7"/>
  <c r="H60" i="7"/>
  <c r="G60" i="7"/>
  <c r="F60" i="7"/>
  <c r="E60" i="7"/>
  <c r="D60" i="7"/>
  <c r="C60" i="7"/>
  <c r="L58" i="7"/>
  <c r="K58" i="7"/>
  <c r="J58" i="7"/>
  <c r="I58" i="7"/>
  <c r="H58" i="7"/>
  <c r="G58" i="7"/>
  <c r="F58" i="7"/>
  <c r="E58" i="7"/>
  <c r="D58" i="7"/>
  <c r="C58" i="7"/>
  <c r="L56" i="7"/>
  <c r="K56" i="7"/>
  <c r="J56" i="7"/>
  <c r="I56" i="7"/>
  <c r="H56" i="7"/>
  <c r="G56" i="7"/>
  <c r="F56" i="7"/>
  <c r="E56" i="7"/>
  <c r="D56" i="7"/>
  <c r="C56" i="7"/>
  <c r="L54" i="7"/>
  <c r="K54" i="7"/>
  <c r="J54" i="7"/>
  <c r="I54" i="7"/>
  <c r="H54" i="7"/>
  <c r="G54" i="7"/>
  <c r="F54" i="7"/>
  <c r="E54" i="7"/>
  <c r="D54" i="7"/>
  <c r="C54" i="7"/>
  <c r="L81" i="6"/>
  <c r="K81" i="6"/>
  <c r="J81" i="6"/>
  <c r="I81" i="6"/>
  <c r="H81" i="6"/>
  <c r="G81" i="6"/>
  <c r="F81" i="6"/>
  <c r="E81" i="6"/>
  <c r="D81" i="6"/>
  <c r="C81" i="6"/>
  <c r="L79" i="6"/>
  <c r="K79" i="6"/>
  <c r="J79" i="6"/>
  <c r="I79" i="6"/>
  <c r="H79" i="6"/>
  <c r="G79" i="6"/>
  <c r="F79" i="6"/>
  <c r="E79" i="6"/>
  <c r="D79" i="6"/>
  <c r="C79" i="6"/>
  <c r="L77" i="6"/>
  <c r="K77" i="6"/>
  <c r="J77" i="6"/>
  <c r="I77" i="6"/>
  <c r="H77" i="6"/>
  <c r="G77" i="6"/>
  <c r="F77" i="6"/>
  <c r="E77" i="6"/>
  <c r="D77" i="6"/>
  <c r="C77" i="6"/>
  <c r="L75" i="6"/>
  <c r="K75" i="6"/>
  <c r="J75" i="6"/>
  <c r="I75" i="6"/>
  <c r="H75" i="6"/>
  <c r="G75" i="6"/>
  <c r="F75" i="6"/>
  <c r="E75" i="6"/>
  <c r="D75" i="6"/>
  <c r="C75" i="6"/>
  <c r="L73" i="6"/>
  <c r="K73" i="6"/>
  <c r="J73" i="6"/>
  <c r="I73" i="6"/>
  <c r="H73" i="6"/>
  <c r="G73" i="6"/>
  <c r="F73" i="6"/>
  <c r="E73" i="6"/>
  <c r="D73" i="6"/>
  <c r="C73" i="6"/>
  <c r="L71" i="6"/>
  <c r="K71" i="6"/>
  <c r="J71" i="6"/>
  <c r="I71" i="6"/>
  <c r="H71" i="6"/>
  <c r="G71" i="6"/>
  <c r="F71" i="6"/>
  <c r="E71" i="6"/>
  <c r="D71" i="6"/>
  <c r="C71" i="6"/>
  <c r="L69" i="6"/>
  <c r="K69" i="6"/>
  <c r="J69" i="6"/>
  <c r="I69" i="6"/>
  <c r="H69" i="6"/>
  <c r="G69" i="6"/>
  <c r="F69" i="6"/>
  <c r="E69" i="6"/>
  <c r="D69" i="6"/>
  <c r="C69" i="6"/>
  <c r="L67" i="6"/>
  <c r="K67" i="6"/>
  <c r="J67" i="6"/>
  <c r="I67" i="6"/>
  <c r="H67" i="6"/>
  <c r="G67" i="6"/>
  <c r="F67" i="6"/>
  <c r="E67" i="6"/>
  <c r="D67" i="6"/>
  <c r="C67" i="6"/>
  <c r="L65" i="6"/>
  <c r="K65" i="6"/>
  <c r="J65" i="6"/>
  <c r="I65" i="6"/>
  <c r="H65" i="6"/>
  <c r="G65" i="6"/>
  <c r="F65" i="6"/>
  <c r="E65" i="6"/>
  <c r="D65" i="6"/>
  <c r="C65" i="6"/>
  <c r="L63" i="6"/>
  <c r="K63" i="6"/>
  <c r="J63" i="6"/>
  <c r="I63" i="6"/>
  <c r="H63" i="6"/>
  <c r="G63" i="6"/>
  <c r="F63" i="6"/>
  <c r="E63" i="6"/>
  <c r="D63" i="6"/>
  <c r="C63" i="6"/>
  <c r="L61" i="6"/>
  <c r="K61" i="6"/>
  <c r="J61" i="6"/>
  <c r="I61" i="6"/>
  <c r="H61" i="6"/>
  <c r="G61" i="6"/>
  <c r="F61" i="6"/>
  <c r="E61" i="6"/>
  <c r="D61" i="6"/>
  <c r="C61" i="6"/>
  <c r="L59" i="6"/>
  <c r="K59" i="6"/>
  <c r="J59" i="6"/>
  <c r="I59" i="6"/>
  <c r="H59" i="6"/>
  <c r="G59" i="6"/>
  <c r="F59" i="6"/>
  <c r="E59" i="6"/>
  <c r="D59" i="6"/>
  <c r="C59" i="6"/>
  <c r="L57" i="6"/>
  <c r="K57" i="6"/>
  <c r="J57" i="6"/>
  <c r="I57" i="6"/>
  <c r="H57" i="6"/>
  <c r="G57" i="6"/>
  <c r="F57" i="6"/>
  <c r="E57" i="6"/>
  <c r="D57" i="6"/>
  <c r="C57" i="6"/>
  <c r="L55" i="6"/>
  <c r="K55" i="6"/>
  <c r="J55" i="6"/>
  <c r="I55" i="6"/>
  <c r="H55" i="6"/>
  <c r="G55" i="6"/>
  <c r="F55" i="6"/>
  <c r="E55" i="6"/>
  <c r="D55" i="6"/>
  <c r="C55" i="6"/>
  <c r="L53" i="6"/>
  <c r="K53" i="6"/>
  <c r="J53" i="6"/>
  <c r="I53" i="6"/>
  <c r="H53" i="6"/>
  <c r="G53" i="6"/>
  <c r="F53" i="6"/>
  <c r="E53" i="6"/>
  <c r="D53" i="6"/>
  <c r="C53" i="6"/>
  <c r="L81" i="17"/>
  <c r="K81" i="17"/>
  <c r="J81" i="17"/>
  <c r="I81" i="17"/>
  <c r="H81" i="17"/>
  <c r="G81" i="17"/>
  <c r="F81" i="17"/>
  <c r="E81" i="17"/>
  <c r="D81" i="17"/>
  <c r="C81" i="17"/>
  <c r="L79" i="17"/>
  <c r="K79" i="17"/>
  <c r="J79" i="17"/>
  <c r="I79" i="17"/>
  <c r="H79" i="17"/>
  <c r="G79" i="17"/>
  <c r="F79" i="17"/>
  <c r="E79" i="17"/>
  <c r="D79" i="17"/>
  <c r="C79" i="17"/>
  <c r="L77" i="17"/>
  <c r="K77" i="17"/>
  <c r="J77" i="17"/>
  <c r="I77" i="17"/>
  <c r="H77" i="17"/>
  <c r="G77" i="17"/>
  <c r="F77" i="17"/>
  <c r="E77" i="17"/>
  <c r="D77" i="17"/>
  <c r="C77" i="17"/>
  <c r="L75" i="17"/>
  <c r="K75" i="17"/>
  <c r="J75" i="17"/>
  <c r="I75" i="17"/>
  <c r="H75" i="17"/>
  <c r="G75" i="17"/>
  <c r="F75" i="17"/>
  <c r="E75" i="17"/>
  <c r="D75" i="17"/>
  <c r="C75" i="17"/>
  <c r="L73" i="17"/>
  <c r="K73" i="17"/>
  <c r="J73" i="17"/>
  <c r="I73" i="17"/>
  <c r="H73" i="17"/>
  <c r="G73" i="17"/>
  <c r="F73" i="17"/>
  <c r="E73" i="17"/>
  <c r="D73" i="17"/>
  <c r="C73" i="17"/>
  <c r="L71" i="17"/>
  <c r="K71" i="17"/>
  <c r="J71" i="17"/>
  <c r="I71" i="17"/>
  <c r="H71" i="17"/>
  <c r="G71" i="17"/>
  <c r="F71" i="17"/>
  <c r="E71" i="17"/>
  <c r="D71" i="17"/>
  <c r="C71" i="17"/>
  <c r="L69" i="17"/>
  <c r="K69" i="17"/>
  <c r="J69" i="17"/>
  <c r="I69" i="17"/>
  <c r="H69" i="17"/>
  <c r="G69" i="17"/>
  <c r="F69" i="17"/>
  <c r="E69" i="17"/>
  <c r="D69" i="17"/>
  <c r="C69" i="17"/>
  <c r="L67" i="17"/>
  <c r="K67" i="17"/>
  <c r="J67" i="17"/>
  <c r="I67" i="17"/>
  <c r="H67" i="17"/>
  <c r="G67" i="17"/>
  <c r="F67" i="17"/>
  <c r="E67" i="17"/>
  <c r="D67" i="17"/>
  <c r="C67" i="17"/>
  <c r="L65" i="17"/>
  <c r="K65" i="17"/>
  <c r="J65" i="17"/>
  <c r="I65" i="17"/>
  <c r="H65" i="17"/>
  <c r="G65" i="17"/>
  <c r="F65" i="17"/>
  <c r="E65" i="17"/>
  <c r="D65" i="17"/>
  <c r="C65" i="17"/>
  <c r="L63" i="17"/>
  <c r="K63" i="17"/>
  <c r="J63" i="17"/>
  <c r="I63" i="17"/>
  <c r="H63" i="17"/>
  <c r="G63" i="17"/>
  <c r="F63" i="17"/>
  <c r="E63" i="17"/>
  <c r="D63" i="17"/>
  <c r="C63" i="17"/>
  <c r="L61" i="17"/>
  <c r="K61" i="17"/>
  <c r="J61" i="17"/>
  <c r="I61" i="17"/>
  <c r="H61" i="17"/>
  <c r="G61" i="17"/>
  <c r="F61" i="17"/>
  <c r="E61" i="17"/>
  <c r="D61" i="17"/>
  <c r="C61" i="17"/>
  <c r="L59" i="17"/>
  <c r="K59" i="17"/>
  <c r="J59" i="17"/>
  <c r="I59" i="17"/>
  <c r="H59" i="17"/>
  <c r="G59" i="17"/>
  <c r="F59" i="17"/>
  <c r="E59" i="17"/>
  <c r="D59" i="17"/>
  <c r="C59" i="17"/>
  <c r="L57" i="17"/>
  <c r="K57" i="17"/>
  <c r="J57" i="17"/>
  <c r="I57" i="17"/>
  <c r="H57" i="17"/>
  <c r="G57" i="17"/>
  <c r="F57" i="17"/>
  <c r="E57" i="17"/>
  <c r="D57" i="17"/>
  <c r="C57" i="17"/>
  <c r="L55" i="17"/>
  <c r="K55" i="17"/>
  <c r="J55" i="17"/>
  <c r="I55" i="17"/>
  <c r="H55" i="17"/>
  <c r="G55" i="17"/>
  <c r="F55" i="17"/>
  <c r="E55" i="17"/>
  <c r="D55" i="17"/>
  <c r="C55" i="17"/>
  <c r="L53" i="17"/>
  <c r="K53" i="17"/>
  <c r="J53" i="17"/>
  <c r="I53" i="17"/>
  <c r="H53" i="17"/>
  <c r="G53" i="17"/>
  <c r="F53" i="17"/>
  <c r="E53" i="17"/>
  <c r="D53" i="17"/>
  <c r="C53" i="17"/>
  <c r="D81" i="4"/>
  <c r="E81" i="4"/>
  <c r="F81" i="4"/>
  <c r="G81" i="4"/>
  <c r="H81" i="4"/>
  <c r="I81" i="4"/>
  <c r="J81" i="4"/>
  <c r="K81" i="4"/>
  <c r="L81" i="4"/>
  <c r="C81" i="4"/>
  <c r="D79" i="4"/>
  <c r="E79" i="4"/>
  <c r="F79" i="4"/>
  <c r="G79" i="4"/>
  <c r="H79" i="4"/>
  <c r="I79" i="4"/>
  <c r="J79" i="4"/>
  <c r="K79" i="4"/>
  <c r="L79" i="4"/>
  <c r="C79" i="4"/>
  <c r="D77" i="4"/>
  <c r="E77" i="4"/>
  <c r="F77" i="4"/>
  <c r="G77" i="4"/>
  <c r="H77" i="4"/>
  <c r="I77" i="4"/>
  <c r="J77" i="4"/>
  <c r="K77" i="4"/>
  <c r="L77" i="4"/>
  <c r="C77" i="4"/>
  <c r="D75" i="4"/>
  <c r="E75" i="4"/>
  <c r="F75" i="4"/>
  <c r="G75" i="4"/>
  <c r="H75" i="4"/>
  <c r="I75" i="4"/>
  <c r="J75" i="4"/>
  <c r="K75" i="4"/>
  <c r="L75" i="4"/>
  <c r="C75" i="4"/>
  <c r="D73" i="4"/>
  <c r="E73" i="4"/>
  <c r="F73" i="4"/>
  <c r="G73" i="4"/>
  <c r="H73" i="4"/>
  <c r="I73" i="4"/>
  <c r="J73" i="4"/>
  <c r="K73" i="4"/>
  <c r="L73" i="4"/>
  <c r="C73" i="4"/>
  <c r="D71" i="4"/>
  <c r="E71" i="4"/>
  <c r="F71" i="4"/>
  <c r="G71" i="4"/>
  <c r="H71" i="4"/>
  <c r="I71" i="4"/>
  <c r="J71" i="4"/>
  <c r="K71" i="4"/>
  <c r="L71" i="4"/>
  <c r="C71" i="4"/>
  <c r="D69" i="4"/>
  <c r="E69" i="4"/>
  <c r="F69" i="4"/>
  <c r="G69" i="4"/>
  <c r="H69" i="4"/>
  <c r="I69" i="4"/>
  <c r="J69" i="4"/>
  <c r="K69" i="4"/>
  <c r="L69" i="4"/>
  <c r="C69" i="4"/>
  <c r="D67" i="4"/>
  <c r="E67" i="4"/>
  <c r="F67" i="4"/>
  <c r="G67" i="4"/>
  <c r="H67" i="4"/>
  <c r="I67" i="4"/>
  <c r="J67" i="4"/>
  <c r="K67" i="4"/>
  <c r="L67" i="4"/>
  <c r="C67" i="4"/>
  <c r="D65" i="4"/>
  <c r="E65" i="4"/>
  <c r="F65" i="4"/>
  <c r="G65" i="4"/>
  <c r="H65" i="4"/>
  <c r="I65" i="4"/>
  <c r="J65" i="4"/>
  <c r="K65" i="4"/>
  <c r="L65" i="4"/>
  <c r="C65" i="4"/>
  <c r="D63" i="4"/>
  <c r="E63" i="4"/>
  <c r="F63" i="4"/>
  <c r="G63" i="4"/>
  <c r="H63" i="4"/>
  <c r="I63" i="4"/>
  <c r="J63" i="4"/>
  <c r="K63" i="4"/>
  <c r="L63" i="4"/>
  <c r="C63" i="4"/>
  <c r="D61" i="4"/>
  <c r="E61" i="4"/>
  <c r="F61" i="4"/>
  <c r="G61" i="4"/>
  <c r="H61" i="4"/>
  <c r="I61" i="4"/>
  <c r="J61" i="4"/>
  <c r="K61" i="4"/>
  <c r="L61" i="4"/>
  <c r="C61" i="4"/>
  <c r="D59" i="4"/>
  <c r="E59" i="4"/>
  <c r="F59" i="4"/>
  <c r="G59" i="4"/>
  <c r="H59" i="4"/>
  <c r="I59" i="4"/>
  <c r="J59" i="4"/>
  <c r="K59" i="4"/>
  <c r="L59" i="4"/>
  <c r="C59" i="4"/>
  <c r="D57" i="4"/>
  <c r="E57" i="4"/>
  <c r="F57" i="4"/>
  <c r="G57" i="4"/>
  <c r="H57" i="4"/>
  <c r="I57" i="4"/>
  <c r="J57" i="4"/>
  <c r="K57" i="4"/>
  <c r="L57" i="4"/>
  <c r="C57" i="4"/>
  <c r="D55" i="4"/>
  <c r="E55" i="4"/>
  <c r="F55" i="4"/>
  <c r="G55" i="4"/>
  <c r="H55" i="4"/>
  <c r="I55" i="4"/>
  <c r="J55" i="4"/>
  <c r="K55" i="4"/>
  <c r="L55" i="4"/>
  <c r="C55" i="4"/>
  <c r="D53" i="4"/>
  <c r="E53" i="4"/>
  <c r="F53" i="4"/>
  <c r="G53" i="4"/>
  <c r="H53" i="4"/>
  <c r="I53" i="4"/>
  <c r="J53" i="4"/>
  <c r="K53" i="4"/>
  <c r="L53" i="4"/>
  <c r="C53" i="4"/>
  <c r="AI59" i="7" l="1"/>
  <c r="M21" i="27" s="1"/>
  <c r="AI67" i="7"/>
  <c r="AH67" i="7" s="1"/>
  <c r="M28" i="27" s="1"/>
  <c r="AI75" i="7"/>
  <c r="M37" i="27" s="1"/>
  <c r="S52" i="4"/>
  <c r="S60" i="4"/>
  <c r="S68" i="4"/>
  <c r="S76" i="4"/>
  <c r="R54" i="17"/>
  <c r="R62" i="17"/>
  <c r="R70" i="17"/>
  <c r="R78" i="17"/>
  <c r="AH56" i="6"/>
  <c r="AH64" i="6"/>
  <c r="AH72" i="6"/>
  <c r="AH80" i="6"/>
  <c r="S78" i="4"/>
  <c r="R56" i="17"/>
  <c r="R64" i="17"/>
  <c r="R72" i="17"/>
  <c r="R80" i="17"/>
  <c r="AH58" i="6"/>
  <c r="AH66" i="6"/>
  <c r="AH74" i="6"/>
  <c r="AI53" i="7"/>
  <c r="AI61" i="7"/>
  <c r="AI69" i="7"/>
  <c r="AI77" i="7"/>
  <c r="S54" i="4"/>
  <c r="S56" i="4"/>
  <c r="S64" i="4"/>
  <c r="S72" i="4"/>
  <c r="S80" i="4"/>
  <c r="R58" i="17"/>
  <c r="R66" i="17"/>
  <c r="R74" i="17"/>
  <c r="AH52" i="6"/>
  <c r="AH60" i="6"/>
  <c r="AH68" i="6"/>
  <c r="AH76" i="6"/>
  <c r="S62" i="4"/>
  <c r="S70" i="4"/>
  <c r="AI55" i="7"/>
  <c r="AI63" i="7"/>
  <c r="AI71" i="7"/>
  <c r="AI79" i="7"/>
  <c r="S58" i="4"/>
  <c r="S66" i="4"/>
  <c r="S74" i="4"/>
  <c r="R52" i="17"/>
  <c r="R60" i="17"/>
  <c r="R68" i="17"/>
  <c r="R76" i="17"/>
  <c r="AH54" i="6"/>
  <c r="AH62" i="6"/>
  <c r="AH70" i="6"/>
  <c r="AH78" i="6"/>
  <c r="AI57" i="7"/>
  <c r="AI65" i="7"/>
  <c r="AI73" i="7"/>
  <c r="AI81" i="7"/>
  <c r="N74" i="24"/>
  <c r="N78" i="24"/>
  <c r="N56" i="24"/>
  <c r="N64" i="24"/>
  <c r="N68" i="24"/>
  <c r="N72" i="24"/>
  <c r="N76" i="24"/>
  <c r="N80" i="24"/>
  <c r="D81" i="3"/>
  <c r="E81" i="3"/>
  <c r="F81" i="3"/>
  <c r="G81" i="3"/>
  <c r="H81" i="3"/>
  <c r="I81" i="3"/>
  <c r="J81" i="3"/>
  <c r="K81" i="3"/>
  <c r="L81" i="3"/>
  <c r="C81" i="3"/>
  <c r="D79" i="3"/>
  <c r="E79" i="3"/>
  <c r="F79" i="3"/>
  <c r="G79" i="3"/>
  <c r="H79" i="3"/>
  <c r="I79" i="3"/>
  <c r="J79" i="3"/>
  <c r="K79" i="3"/>
  <c r="L79" i="3"/>
  <c r="C79" i="3"/>
  <c r="D77" i="3"/>
  <c r="E77" i="3"/>
  <c r="F77" i="3"/>
  <c r="G77" i="3"/>
  <c r="H77" i="3"/>
  <c r="I77" i="3"/>
  <c r="J77" i="3"/>
  <c r="K77" i="3"/>
  <c r="L77" i="3"/>
  <c r="C77" i="3"/>
  <c r="D75" i="3"/>
  <c r="E75" i="3"/>
  <c r="F75" i="3"/>
  <c r="G75" i="3"/>
  <c r="H75" i="3"/>
  <c r="I75" i="3"/>
  <c r="J75" i="3"/>
  <c r="K75" i="3"/>
  <c r="L75" i="3"/>
  <c r="C75" i="3"/>
  <c r="D73" i="3"/>
  <c r="E73" i="3"/>
  <c r="F73" i="3"/>
  <c r="G73" i="3"/>
  <c r="H73" i="3"/>
  <c r="I73" i="3"/>
  <c r="J73" i="3"/>
  <c r="K73" i="3"/>
  <c r="L73" i="3"/>
  <c r="C73" i="3"/>
  <c r="D71" i="3"/>
  <c r="E71" i="3"/>
  <c r="F71" i="3"/>
  <c r="G71" i="3"/>
  <c r="H71" i="3"/>
  <c r="I71" i="3"/>
  <c r="J71" i="3"/>
  <c r="K71" i="3"/>
  <c r="L71" i="3"/>
  <c r="C71" i="3"/>
  <c r="D69" i="3"/>
  <c r="E69" i="3"/>
  <c r="F69" i="3"/>
  <c r="G69" i="3"/>
  <c r="H69" i="3"/>
  <c r="I69" i="3"/>
  <c r="J69" i="3"/>
  <c r="K69" i="3"/>
  <c r="L69" i="3"/>
  <c r="C69" i="3"/>
  <c r="D67" i="3"/>
  <c r="E67" i="3"/>
  <c r="F67" i="3"/>
  <c r="G67" i="3"/>
  <c r="H67" i="3"/>
  <c r="I67" i="3"/>
  <c r="J67" i="3"/>
  <c r="K67" i="3"/>
  <c r="L67" i="3"/>
  <c r="C67" i="3"/>
  <c r="D65" i="3"/>
  <c r="E65" i="3"/>
  <c r="F65" i="3"/>
  <c r="G65" i="3"/>
  <c r="H65" i="3"/>
  <c r="I65" i="3"/>
  <c r="J65" i="3"/>
  <c r="K65" i="3"/>
  <c r="L65" i="3"/>
  <c r="C65" i="3"/>
  <c r="D63" i="3"/>
  <c r="E63" i="3"/>
  <c r="F63" i="3"/>
  <c r="G63" i="3"/>
  <c r="H63" i="3"/>
  <c r="I63" i="3"/>
  <c r="J63" i="3"/>
  <c r="K63" i="3"/>
  <c r="L63" i="3"/>
  <c r="C63" i="3"/>
  <c r="D61" i="3"/>
  <c r="E61" i="3"/>
  <c r="F61" i="3"/>
  <c r="G61" i="3"/>
  <c r="H61" i="3"/>
  <c r="I61" i="3"/>
  <c r="J61" i="3"/>
  <c r="K61" i="3"/>
  <c r="L61" i="3"/>
  <c r="C61" i="3"/>
  <c r="D59" i="3"/>
  <c r="E59" i="3"/>
  <c r="F59" i="3"/>
  <c r="G59" i="3"/>
  <c r="H59" i="3"/>
  <c r="I59" i="3"/>
  <c r="J59" i="3"/>
  <c r="K59" i="3"/>
  <c r="L59" i="3"/>
  <c r="C59" i="3"/>
  <c r="D57" i="3"/>
  <c r="E57" i="3"/>
  <c r="F57" i="3"/>
  <c r="G57" i="3"/>
  <c r="H57" i="3"/>
  <c r="I57" i="3"/>
  <c r="J57" i="3"/>
  <c r="K57" i="3"/>
  <c r="L57" i="3"/>
  <c r="C57" i="3"/>
  <c r="D55" i="3"/>
  <c r="E55" i="3"/>
  <c r="F55" i="3"/>
  <c r="G55" i="3"/>
  <c r="H55" i="3"/>
  <c r="I55" i="3"/>
  <c r="J55" i="3"/>
  <c r="K55" i="3"/>
  <c r="L55" i="3"/>
  <c r="C55" i="3"/>
  <c r="D53" i="3"/>
  <c r="E53" i="3"/>
  <c r="F53" i="3"/>
  <c r="G53" i="3"/>
  <c r="H53" i="3"/>
  <c r="I53" i="3"/>
  <c r="J53" i="3"/>
  <c r="K53" i="3"/>
  <c r="L53" i="3"/>
  <c r="C53" i="3"/>
  <c r="M29" i="27" l="1"/>
  <c r="X62" i="3"/>
  <c r="W62" i="3" s="1"/>
  <c r="I24" i="27" s="1"/>
  <c r="AH59" i="7"/>
  <c r="M20" i="27" s="1"/>
  <c r="AH75" i="7"/>
  <c r="M36" i="27" s="1"/>
  <c r="X54" i="3"/>
  <c r="I17" i="27" s="1"/>
  <c r="X78" i="3"/>
  <c r="I41" i="27" s="1"/>
  <c r="X70" i="3"/>
  <c r="I33" i="27" s="1"/>
  <c r="X56" i="3"/>
  <c r="X64" i="3"/>
  <c r="X72" i="3"/>
  <c r="X80" i="3"/>
  <c r="H19" i="27"/>
  <c r="M56" i="24"/>
  <c r="H18" i="27" s="1"/>
  <c r="L17" i="27"/>
  <c r="AG54" i="6"/>
  <c r="L16" i="27" s="1"/>
  <c r="L39" i="27"/>
  <c r="AG76" i="6"/>
  <c r="L38" i="27" s="1"/>
  <c r="J35" i="27"/>
  <c r="R72" i="4"/>
  <c r="J34" i="27" s="1"/>
  <c r="L37" i="27"/>
  <c r="AG74" i="6"/>
  <c r="L36" i="27" s="1"/>
  <c r="K25" i="27"/>
  <c r="Q62" i="17"/>
  <c r="K24" i="27" s="1"/>
  <c r="K39" i="27"/>
  <c r="Q76" i="17"/>
  <c r="K38" i="27" s="1"/>
  <c r="X66" i="3"/>
  <c r="X74" i="3"/>
  <c r="H43" i="27"/>
  <c r="M80" i="24"/>
  <c r="H42" i="27" s="1"/>
  <c r="M78" i="24"/>
  <c r="H40" i="27" s="1"/>
  <c r="H41" i="27"/>
  <c r="M35" i="27"/>
  <c r="AH73" i="7"/>
  <c r="M34" i="27" s="1"/>
  <c r="K31" i="27"/>
  <c r="Q68" i="17"/>
  <c r="K30" i="27" s="1"/>
  <c r="M41" i="27"/>
  <c r="AH79" i="7"/>
  <c r="M40" i="27" s="1"/>
  <c r="L23" i="27"/>
  <c r="AG60" i="6"/>
  <c r="L22" i="27" s="1"/>
  <c r="J19" i="27"/>
  <c r="R56" i="4"/>
  <c r="J18" i="27" s="1"/>
  <c r="L21" i="27"/>
  <c r="AG58" i="6"/>
  <c r="L20" i="27" s="1"/>
  <c r="L43" i="27"/>
  <c r="AG80" i="6"/>
  <c r="L42" i="27" s="1"/>
  <c r="J39" i="27"/>
  <c r="R76" i="4"/>
  <c r="J38" i="27" s="1"/>
  <c r="K17" i="27"/>
  <c r="Q54" i="17"/>
  <c r="K16" i="27" s="1"/>
  <c r="X58" i="3"/>
  <c r="H39" i="27"/>
  <c r="M76" i="24"/>
  <c r="H38" i="27" s="1"/>
  <c r="H37" i="27"/>
  <c r="M74" i="24"/>
  <c r="H36" i="27" s="1"/>
  <c r="M27" i="27"/>
  <c r="AH65" i="7"/>
  <c r="M26" i="27" s="1"/>
  <c r="K23" i="27"/>
  <c r="Q60" i="17"/>
  <c r="K22" i="27" s="1"/>
  <c r="M33" i="27"/>
  <c r="AH71" i="7"/>
  <c r="M32" i="27" s="1"/>
  <c r="L15" i="27"/>
  <c r="AG52" i="6"/>
  <c r="L14" i="27" s="1"/>
  <c r="J17" i="27"/>
  <c r="R54" i="4"/>
  <c r="J16" i="27" s="1"/>
  <c r="K43" i="27"/>
  <c r="Q80" i="17"/>
  <c r="K42" i="27" s="1"/>
  <c r="L35" i="27"/>
  <c r="AG72" i="6"/>
  <c r="L34" i="27" s="1"/>
  <c r="J31" i="27"/>
  <c r="R68" i="4"/>
  <c r="J30" i="27" s="1"/>
  <c r="J27" i="27"/>
  <c r="R64" i="4"/>
  <c r="J26" i="27" s="1"/>
  <c r="X52" i="3"/>
  <c r="X60" i="3"/>
  <c r="X68" i="3"/>
  <c r="X76" i="3"/>
  <c r="H35" i="27"/>
  <c r="M72" i="24"/>
  <c r="H34" i="27" s="1"/>
  <c r="M19" i="27"/>
  <c r="AH57" i="7"/>
  <c r="M18" i="27" s="1"/>
  <c r="K15" i="27"/>
  <c r="Q52" i="17"/>
  <c r="K14" i="27" s="1"/>
  <c r="M25" i="27"/>
  <c r="AH63" i="7"/>
  <c r="M24" i="27" s="1"/>
  <c r="K37" i="27"/>
  <c r="Q74" i="17"/>
  <c r="K36" i="27" s="1"/>
  <c r="M39" i="27"/>
  <c r="AH77" i="7"/>
  <c r="M38" i="27" s="1"/>
  <c r="K35" i="27"/>
  <c r="Q72" i="17"/>
  <c r="K34" i="27" s="1"/>
  <c r="L27" i="27"/>
  <c r="AG64" i="6"/>
  <c r="L26" i="27" s="1"/>
  <c r="J23" i="27"/>
  <c r="R60" i="4"/>
  <c r="J22" i="27" s="1"/>
  <c r="M43" i="27"/>
  <c r="AH81" i="7"/>
  <c r="M42" i="27" s="1"/>
  <c r="L31" i="27"/>
  <c r="AG68" i="6"/>
  <c r="L30" i="27" s="1"/>
  <c r="L29" i="27"/>
  <c r="AG66" i="6"/>
  <c r="L28" i="27" s="1"/>
  <c r="M68" i="24"/>
  <c r="H30" i="27" s="1"/>
  <c r="H31" i="27"/>
  <c r="L41" i="27"/>
  <c r="AG78" i="6"/>
  <c r="L40" i="27" s="1"/>
  <c r="J37" i="27"/>
  <c r="R74" i="4"/>
  <c r="J36" i="27" s="1"/>
  <c r="M17" i="27"/>
  <c r="AH55" i="7"/>
  <c r="M16" i="27" s="1"/>
  <c r="K29" i="27"/>
  <c r="Q66" i="17"/>
  <c r="K28" i="27" s="1"/>
  <c r="M31" i="27"/>
  <c r="AH69" i="7"/>
  <c r="M30" i="27" s="1"/>
  <c r="K27" i="27"/>
  <c r="Q64" i="17"/>
  <c r="K26" i="27" s="1"/>
  <c r="L19" i="27"/>
  <c r="AG56" i="6"/>
  <c r="L18" i="27" s="1"/>
  <c r="J15" i="27"/>
  <c r="R52" i="4"/>
  <c r="J14" i="27" s="1"/>
  <c r="H27" i="27"/>
  <c r="M64" i="24"/>
  <c r="H26" i="27" s="1"/>
  <c r="L33" i="27"/>
  <c r="AG70" i="6"/>
  <c r="L32" i="27" s="1"/>
  <c r="J29" i="27"/>
  <c r="R66" i="4"/>
  <c r="J28" i="27" s="1"/>
  <c r="J33" i="27"/>
  <c r="R70" i="4"/>
  <c r="J32" i="27" s="1"/>
  <c r="K21" i="27"/>
  <c r="Q58" i="17"/>
  <c r="K20" i="27" s="1"/>
  <c r="M23" i="27"/>
  <c r="AH61" i="7"/>
  <c r="M22" i="27" s="1"/>
  <c r="K19" i="27"/>
  <c r="Q56" i="17"/>
  <c r="K18" i="27" s="1"/>
  <c r="K41" i="27"/>
  <c r="Q78" i="17"/>
  <c r="K40" i="27" s="1"/>
  <c r="L25" i="27"/>
  <c r="AG62" i="6"/>
  <c r="L24" i="27" s="1"/>
  <c r="J21" i="27"/>
  <c r="R58" i="4"/>
  <c r="J20" i="27" s="1"/>
  <c r="J25" i="27"/>
  <c r="R62" i="4"/>
  <c r="J24" i="27" s="1"/>
  <c r="J43" i="27"/>
  <c r="R80" i="4"/>
  <c r="J42" i="27" s="1"/>
  <c r="AH53" i="7"/>
  <c r="M14" i="27" s="1"/>
  <c r="M15" i="27"/>
  <c r="J41" i="27"/>
  <c r="R78" i="4"/>
  <c r="J40" i="27" s="1"/>
  <c r="K33" i="27"/>
  <c r="Q70" i="17"/>
  <c r="K32" i="27" s="1"/>
  <c r="H8" i="27"/>
  <c r="B10" i="28" s="1"/>
  <c r="H7" i="27"/>
  <c r="H6" i="27"/>
  <c r="H5" i="27"/>
  <c r="H4" i="27"/>
  <c r="B7" i="28" l="1"/>
  <c r="E15" i="28"/>
  <c r="I25" i="27"/>
  <c r="W54" i="3"/>
  <c r="I16" i="27" s="1"/>
  <c r="W78" i="3"/>
  <c r="I40" i="27" s="1"/>
  <c r="W70" i="3"/>
  <c r="I32" i="27" s="1"/>
  <c r="I15" i="27"/>
  <c r="W52" i="3"/>
  <c r="I14" i="27" s="1"/>
  <c r="I21" i="27"/>
  <c r="W58" i="3"/>
  <c r="I20" i="27" s="1"/>
  <c r="I29" i="27"/>
  <c r="W66" i="3"/>
  <c r="I28" i="27" s="1"/>
  <c r="I43" i="27"/>
  <c r="N43" i="27" s="1"/>
  <c r="N42" i="27" s="1"/>
  <c r="W80" i="3"/>
  <c r="I42" i="27" s="1"/>
  <c r="I35" i="27"/>
  <c r="N35" i="27" s="1"/>
  <c r="N34" i="27" s="1"/>
  <c r="W72" i="3"/>
  <c r="I34" i="27" s="1"/>
  <c r="N41" i="27"/>
  <c r="N40" i="27" s="1"/>
  <c r="I27" i="27"/>
  <c r="N27" i="27" s="1"/>
  <c r="N26" i="27" s="1"/>
  <c r="W64" i="3"/>
  <c r="I26" i="27" s="1"/>
  <c r="I37" i="27"/>
  <c r="N37" i="27" s="1"/>
  <c r="N36" i="27" s="1"/>
  <c r="W74" i="3"/>
  <c r="I36" i="27" s="1"/>
  <c r="I39" i="27"/>
  <c r="N39" i="27" s="1"/>
  <c r="N38" i="27" s="1"/>
  <c r="W76" i="3"/>
  <c r="I38" i="27" s="1"/>
  <c r="I19" i="27"/>
  <c r="N19" i="27" s="1"/>
  <c r="N18" i="27" s="1"/>
  <c r="W56" i="3"/>
  <c r="I18" i="27" s="1"/>
  <c r="I31" i="27"/>
  <c r="N31" i="27" s="1"/>
  <c r="N30" i="27" s="1"/>
  <c r="W68" i="3"/>
  <c r="I30" i="27" s="1"/>
  <c r="I23" i="27"/>
  <c r="W60" i="3"/>
  <c r="I22" i="27" s="1"/>
  <c r="J48" i="27"/>
  <c r="J49" i="27"/>
  <c r="J50" i="27"/>
  <c r="J51" i="27"/>
  <c r="J52" i="27"/>
  <c r="J53" i="27"/>
  <c r="J54" i="27"/>
  <c r="J55" i="27"/>
  <c r="J56" i="27"/>
  <c r="J57" i="27"/>
  <c r="J58" i="27"/>
  <c r="J47" i="27"/>
  <c r="I48" i="27"/>
  <c r="I49" i="27"/>
  <c r="I50" i="27"/>
  <c r="I51" i="27"/>
  <c r="I52" i="27"/>
  <c r="I53" i="27"/>
  <c r="I54" i="27"/>
  <c r="I55" i="27"/>
  <c r="I56" i="27"/>
  <c r="I57" i="27"/>
  <c r="I58" i="27"/>
  <c r="I47" i="27"/>
  <c r="H48" i="27"/>
  <c r="H49" i="27"/>
  <c r="H50" i="27"/>
  <c r="H51" i="27"/>
  <c r="H52" i="27"/>
  <c r="H53" i="27"/>
  <c r="H54" i="27"/>
  <c r="H55" i="27"/>
  <c r="H56" i="27"/>
  <c r="H57" i="27"/>
  <c r="H58" i="27"/>
  <c r="H47" i="27"/>
  <c r="G5" i="27"/>
  <c r="G6" i="27"/>
  <c r="G8" i="27"/>
  <c r="G4" i="27"/>
  <c r="M47" i="17"/>
  <c r="N47" i="17"/>
  <c r="O47" i="17"/>
  <c r="P47" i="17"/>
  <c r="M47" i="4"/>
  <c r="N47" i="4"/>
  <c r="O47" i="4"/>
  <c r="P47" i="4"/>
  <c r="Q47" i="4"/>
  <c r="M47" i="3"/>
  <c r="N47" i="3"/>
  <c r="O47" i="3"/>
  <c r="P47" i="3"/>
  <c r="Q47" i="3"/>
  <c r="R47" i="3"/>
  <c r="S47" i="3"/>
  <c r="T47" i="3"/>
  <c r="U47" i="3"/>
  <c r="V47" i="3"/>
  <c r="N54" i="24"/>
  <c r="N66" i="24"/>
  <c r="C53" i="24"/>
  <c r="G15" i="28" l="1"/>
  <c r="F15" i="28"/>
  <c r="R18" i="27"/>
  <c r="R26" i="27"/>
  <c r="R40" i="27"/>
  <c r="R34" i="27"/>
  <c r="R38" i="27"/>
  <c r="R30" i="27"/>
  <c r="R42" i="27"/>
  <c r="R36" i="27"/>
  <c r="M66" i="24"/>
  <c r="H28" i="27" s="1"/>
  <c r="H29" i="27"/>
  <c r="N29" i="27" s="1"/>
  <c r="N28" i="27" s="1"/>
  <c r="R28" i="27" s="1"/>
  <c r="N60" i="24"/>
  <c r="N58" i="24"/>
  <c r="N70" i="24"/>
  <c r="M54" i="24"/>
  <c r="H16" i="27" s="1"/>
  <c r="H17" i="27"/>
  <c r="N17" i="27" s="1"/>
  <c r="N16" i="27" s="1"/>
  <c r="N62" i="24"/>
  <c r="N52" i="24"/>
  <c r="K5" i="15"/>
  <c r="H70" i="27" l="1"/>
  <c r="I70" i="27" s="1"/>
  <c r="R53" i="29" s="1"/>
  <c r="H69" i="27"/>
  <c r="I69" i="27" s="1"/>
  <c r="H53" i="29" s="1"/>
  <c r="S36" i="27"/>
  <c r="E32" i="28"/>
  <c r="S34" i="27"/>
  <c r="E30" i="28"/>
  <c r="S42" i="27"/>
  <c r="S40" i="27"/>
  <c r="S26" i="27"/>
  <c r="E25" i="28"/>
  <c r="R16" i="27"/>
  <c r="S30" i="27"/>
  <c r="E27" i="28"/>
  <c r="S28" i="27"/>
  <c r="E26" i="28"/>
  <c r="S38" i="27"/>
  <c r="E33" i="28"/>
  <c r="E19" i="28"/>
  <c r="S18" i="27"/>
  <c r="H67" i="27"/>
  <c r="I67" i="27" s="1"/>
  <c r="H38" i="29" s="1"/>
  <c r="M70" i="24"/>
  <c r="H32" i="27" s="1"/>
  <c r="H33" i="27"/>
  <c r="N33" i="27" s="1"/>
  <c r="N32" i="27" s="1"/>
  <c r="R32" i="27" s="1"/>
  <c r="M60" i="24"/>
  <c r="H22" i="27" s="1"/>
  <c r="H23" i="27"/>
  <c r="N23" i="27" s="1"/>
  <c r="N22" i="27" s="1"/>
  <c r="H21" i="27"/>
  <c r="N21" i="27" s="1"/>
  <c r="M58" i="24"/>
  <c r="H20" i="27" s="1"/>
  <c r="M52" i="24"/>
  <c r="H14" i="27" s="1"/>
  <c r="H15" i="27"/>
  <c r="N15" i="27" s="1"/>
  <c r="M62" i="24"/>
  <c r="H24" i="27" s="1"/>
  <c r="H25" i="27"/>
  <c r="N25" i="27" s="1"/>
  <c r="N24" i="27" s="1"/>
  <c r="B1" i="15"/>
  <c r="F30" i="28" l="1"/>
  <c r="T28" i="29"/>
  <c r="F27" i="28"/>
  <c r="J29" i="29"/>
  <c r="F32" i="28"/>
  <c r="J42" i="29"/>
  <c r="F26" i="28"/>
  <c r="J28" i="29"/>
  <c r="F19" i="28"/>
  <c r="J14" i="29"/>
  <c r="F25" i="28"/>
  <c r="J27" i="29"/>
  <c r="F33" i="28"/>
  <c r="J43" i="29"/>
  <c r="R24" i="27"/>
  <c r="S32" i="27"/>
  <c r="E29" i="28"/>
  <c r="E18" i="28"/>
  <c r="S16" i="27"/>
  <c r="R22" i="27"/>
  <c r="H68" i="27"/>
  <c r="I68" i="27" s="1"/>
  <c r="R38" i="29" s="1"/>
  <c r="N14" i="27"/>
  <c r="N20" i="27"/>
  <c r="C71" i="15"/>
  <c r="F18" i="28" l="1"/>
  <c r="J13" i="29"/>
  <c r="F29" i="28"/>
  <c r="T27" i="29"/>
  <c r="H66" i="27"/>
  <c r="R14" i="27"/>
  <c r="S24" i="27"/>
  <c r="E23" i="28"/>
  <c r="S22" i="27"/>
  <c r="E22" i="28"/>
  <c r="R20" i="27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C45" i="3"/>
  <c r="F23" i="28" l="1"/>
  <c r="T13" i="29"/>
  <c r="F22" i="28"/>
  <c r="T12" i="29"/>
  <c r="I66" i="27"/>
  <c r="R23" i="29" s="1"/>
  <c r="H65" i="27"/>
  <c r="S14" i="27"/>
  <c r="E20" i="28"/>
  <c r="S20" i="27"/>
  <c r="C6" i="15"/>
  <c r="C5" i="15"/>
  <c r="F20" i="28" l="1"/>
  <c r="J15" i="29"/>
  <c r="I65" i="27"/>
  <c r="H23" i="29" s="1"/>
  <c r="Q4" i="17"/>
  <c r="N4" i="19"/>
  <c r="OG107" i="9" l="1"/>
  <c r="OG108" i="9"/>
  <c r="OG109" i="9"/>
  <c r="OG110" i="9"/>
  <c r="OG111" i="9"/>
  <c r="OG112" i="9"/>
  <c r="OG113" i="9"/>
  <c r="OG114" i="9"/>
  <c r="OG117" i="9"/>
  <c r="OG106" i="9"/>
  <c r="OF107" i="9"/>
  <c r="OF108" i="9"/>
  <c r="OF109" i="9"/>
  <c r="OF110" i="9"/>
  <c r="OF111" i="9"/>
  <c r="OF112" i="9"/>
  <c r="OF113" i="9"/>
  <c r="OF115" i="9"/>
  <c r="OF116" i="9"/>
  <c r="OF106" i="9"/>
  <c r="OE107" i="9"/>
  <c r="OE108" i="9"/>
  <c r="OE109" i="9"/>
  <c r="OE110" i="9"/>
  <c r="OE111" i="9"/>
  <c r="OE112" i="9"/>
  <c r="OE114" i="9"/>
  <c r="OE115" i="9"/>
  <c r="OE116" i="9"/>
  <c r="OE106" i="9"/>
  <c r="OD107" i="9"/>
  <c r="OD108" i="9"/>
  <c r="OD109" i="9"/>
  <c r="OD110" i="9"/>
  <c r="OD111" i="9"/>
  <c r="OD113" i="9"/>
  <c r="OD114" i="9"/>
  <c r="OD115" i="9"/>
  <c r="OD117" i="9"/>
  <c r="OD106" i="9"/>
  <c r="OC107" i="9"/>
  <c r="OC108" i="9"/>
  <c r="OC109" i="9"/>
  <c r="OC110" i="9"/>
  <c r="OC112" i="9"/>
  <c r="OC113" i="9"/>
  <c r="OC114" i="9"/>
  <c r="OC115" i="9"/>
  <c r="OC116" i="9"/>
  <c r="OC117" i="9"/>
  <c r="OC106" i="9"/>
  <c r="OB107" i="9"/>
  <c r="OB108" i="9"/>
  <c r="OB109" i="9"/>
  <c r="OB111" i="9"/>
  <c r="OB112" i="9"/>
  <c r="OB113" i="9"/>
  <c r="OB114" i="9"/>
  <c r="OB115" i="9"/>
  <c r="OB116" i="9"/>
  <c r="OB117" i="9"/>
  <c r="OB106" i="9"/>
  <c r="OA107" i="9"/>
  <c r="OA108" i="9"/>
  <c r="OA110" i="9"/>
  <c r="OA111" i="9"/>
  <c r="OA112" i="9"/>
  <c r="OA113" i="9"/>
  <c r="OA114" i="9"/>
  <c r="OA115" i="9"/>
  <c r="OA116" i="9"/>
  <c r="OA117" i="9"/>
  <c r="OA106" i="9"/>
  <c r="NZ107" i="9"/>
  <c r="NZ109" i="9"/>
  <c r="NZ110" i="9"/>
  <c r="NZ111" i="9"/>
  <c r="NZ112" i="9"/>
  <c r="NZ113" i="9"/>
  <c r="NZ114" i="9"/>
  <c r="NZ115" i="9"/>
  <c r="NZ116" i="9"/>
  <c r="NZ117" i="9"/>
  <c r="NZ106" i="9"/>
  <c r="NY108" i="9"/>
  <c r="NY109" i="9"/>
  <c r="NY110" i="9"/>
  <c r="NY111" i="9"/>
  <c r="NY112" i="9"/>
  <c r="NY113" i="9"/>
  <c r="NY114" i="9"/>
  <c r="NY115" i="9"/>
  <c r="NY116" i="9"/>
  <c r="NY117" i="9"/>
  <c r="NY106" i="9"/>
  <c r="NX107" i="9"/>
  <c r="NX108" i="9"/>
  <c r="NX109" i="9"/>
  <c r="NX110" i="9"/>
  <c r="NX111" i="9"/>
  <c r="NX112" i="9"/>
  <c r="NX113" i="9"/>
  <c r="NX114" i="9"/>
  <c r="NX115" i="9"/>
  <c r="NX116" i="9"/>
  <c r="NX117" i="9"/>
  <c r="NW107" i="9"/>
  <c r="NW108" i="9"/>
  <c r="NW109" i="9"/>
  <c r="NW110" i="9"/>
  <c r="NW111" i="9"/>
  <c r="NW112" i="9"/>
  <c r="NW113" i="9"/>
  <c r="NW114" i="9"/>
  <c r="NW116" i="9"/>
  <c r="NW117" i="9"/>
  <c r="NW106" i="9"/>
  <c r="NV107" i="9"/>
  <c r="NV108" i="9"/>
  <c r="NV109" i="9"/>
  <c r="NV110" i="9"/>
  <c r="NV111" i="9"/>
  <c r="NV112" i="9"/>
  <c r="NV113" i="9"/>
  <c r="NV115" i="9"/>
  <c r="NV116" i="9"/>
  <c r="NV117" i="9"/>
  <c r="NV106" i="9"/>
  <c r="NU107" i="9"/>
  <c r="NU108" i="9"/>
  <c r="NU109" i="9"/>
  <c r="NU110" i="9"/>
  <c r="NU111" i="9"/>
  <c r="NU112" i="9"/>
  <c r="NU114" i="9"/>
  <c r="NU115" i="9"/>
  <c r="NU116" i="9"/>
  <c r="NU117" i="9"/>
  <c r="NU106" i="9"/>
  <c r="NT107" i="9"/>
  <c r="NT108" i="9"/>
  <c r="NT109" i="9"/>
  <c r="NT110" i="9"/>
  <c r="NT111" i="9"/>
  <c r="NT113" i="9"/>
  <c r="NT114" i="9"/>
  <c r="NT115" i="9"/>
  <c r="NT116" i="9"/>
  <c r="NT117" i="9"/>
  <c r="NT106" i="9"/>
  <c r="NS107" i="9"/>
  <c r="NS108" i="9"/>
  <c r="NS109" i="9"/>
  <c r="NS110" i="9"/>
  <c r="NS112" i="9"/>
  <c r="NS113" i="9"/>
  <c r="NS114" i="9"/>
  <c r="NS115" i="9"/>
  <c r="NS116" i="9"/>
  <c r="NS117" i="9"/>
  <c r="NR107" i="9"/>
  <c r="NR108" i="9"/>
  <c r="NR109" i="9"/>
  <c r="NR111" i="9"/>
  <c r="NR112" i="9"/>
  <c r="NR113" i="9"/>
  <c r="NR114" i="9"/>
  <c r="NR115" i="9"/>
  <c r="NR116" i="9"/>
  <c r="NR117" i="9"/>
  <c r="NS106" i="9"/>
  <c r="NR106" i="9"/>
  <c r="NQ107" i="9"/>
  <c r="NQ108" i="9"/>
  <c r="NQ110" i="9"/>
  <c r="NQ111" i="9"/>
  <c r="NQ112" i="9"/>
  <c r="NQ113" i="9"/>
  <c r="NQ114" i="9"/>
  <c r="NQ115" i="9"/>
  <c r="NQ116" i="9"/>
  <c r="NQ117" i="9"/>
  <c r="NQ106" i="9"/>
  <c r="NP107" i="9"/>
  <c r="NP109" i="9"/>
  <c r="NP110" i="9"/>
  <c r="NP111" i="9"/>
  <c r="NP112" i="9"/>
  <c r="NP113" i="9"/>
  <c r="NP114" i="9"/>
  <c r="NP115" i="9"/>
  <c r="NP116" i="9"/>
  <c r="NP117" i="9"/>
  <c r="NP106" i="9"/>
  <c r="NO108" i="9"/>
  <c r="NO109" i="9"/>
  <c r="NO110" i="9"/>
  <c r="NO111" i="9"/>
  <c r="NO112" i="9"/>
  <c r="NO113" i="9"/>
  <c r="NO114" i="9"/>
  <c r="NO115" i="9"/>
  <c r="NO116" i="9"/>
  <c r="NO117" i="9"/>
  <c r="NN107" i="9"/>
  <c r="NN108" i="9"/>
  <c r="NN109" i="9"/>
  <c r="NN110" i="9"/>
  <c r="NN111" i="9"/>
  <c r="NN112" i="9"/>
  <c r="NN113" i="9"/>
  <c r="NN114" i="9"/>
  <c r="NN115" i="9"/>
  <c r="NN116" i="9"/>
  <c r="NN117" i="9"/>
  <c r="NO106" i="9"/>
  <c r="B7" i="12" l="1"/>
  <c r="B6" i="12"/>
  <c r="B5" i="12"/>
  <c r="B4" i="12"/>
  <c r="B3" i="12"/>
  <c r="B2" i="12"/>
  <c r="Q25" i="17" l="1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H46" i="3" l="1"/>
  <c r="I46" i="3"/>
  <c r="K46" i="3"/>
  <c r="L46" i="3"/>
  <c r="M46" i="3"/>
  <c r="N46" i="3"/>
  <c r="O46" i="3"/>
  <c r="P46" i="3"/>
  <c r="R46" i="3"/>
  <c r="S46" i="3"/>
  <c r="T46" i="3"/>
  <c r="U46" i="3"/>
  <c r="V46" i="3"/>
  <c r="J46" i="3"/>
  <c r="Q46" i="3"/>
  <c r="GC107" i="9" l="1"/>
  <c r="GC108" i="9"/>
  <c r="GC109" i="9"/>
  <c r="GC110" i="9"/>
  <c r="GC111" i="9"/>
  <c r="GC112" i="9"/>
  <c r="GC113" i="9"/>
  <c r="GC114" i="9"/>
  <c r="GC115" i="9"/>
  <c r="GC116" i="9"/>
  <c r="GC117" i="9"/>
  <c r="GC106" i="9"/>
  <c r="GB107" i="9"/>
  <c r="GB108" i="9"/>
  <c r="GB109" i="9"/>
  <c r="GB110" i="9"/>
  <c r="GB111" i="9"/>
  <c r="GB112" i="9"/>
  <c r="GB113" i="9"/>
  <c r="GB114" i="9"/>
  <c r="GB115" i="9"/>
  <c r="GB116" i="9"/>
  <c r="GB117" i="9"/>
  <c r="GB106" i="9"/>
  <c r="GA107" i="9"/>
  <c r="GA108" i="9"/>
  <c r="GA109" i="9"/>
  <c r="GA110" i="9"/>
  <c r="GA111" i="9"/>
  <c r="GA112" i="9"/>
  <c r="GA113" i="9"/>
  <c r="GA114" i="9"/>
  <c r="GA115" i="9"/>
  <c r="GA116" i="9"/>
  <c r="GA117" i="9"/>
  <c r="GA106" i="9"/>
  <c r="FZ107" i="9"/>
  <c r="FZ108" i="9"/>
  <c r="FZ109" i="9"/>
  <c r="FZ110" i="9"/>
  <c r="FZ111" i="9"/>
  <c r="FZ112" i="9"/>
  <c r="FZ113" i="9"/>
  <c r="FZ114" i="9"/>
  <c r="FZ115" i="9"/>
  <c r="FZ116" i="9"/>
  <c r="FZ117" i="9"/>
  <c r="FZ106" i="9"/>
  <c r="FY107" i="9"/>
  <c r="FY108" i="9"/>
  <c r="FY109" i="9"/>
  <c r="FY110" i="9"/>
  <c r="FY111" i="9"/>
  <c r="FY112" i="9"/>
  <c r="FY113" i="9"/>
  <c r="FY114" i="9"/>
  <c r="FY115" i="9"/>
  <c r="FY116" i="9"/>
  <c r="FY117" i="9"/>
  <c r="FY106" i="9"/>
  <c r="FX107" i="9"/>
  <c r="FX108" i="9"/>
  <c r="FX109" i="9"/>
  <c r="FX110" i="9"/>
  <c r="FX111" i="9"/>
  <c r="FX112" i="9"/>
  <c r="FX113" i="9"/>
  <c r="FX114" i="9"/>
  <c r="FX115" i="9"/>
  <c r="FX116" i="9"/>
  <c r="FX117" i="9"/>
  <c r="FX106" i="9"/>
  <c r="FW107" i="9"/>
  <c r="FW108" i="9"/>
  <c r="FW109" i="9"/>
  <c r="FW110" i="9"/>
  <c r="FW111" i="9"/>
  <c r="FW112" i="9"/>
  <c r="FW113" i="9"/>
  <c r="FW114" i="9"/>
  <c r="FW115" i="9"/>
  <c r="FW116" i="9"/>
  <c r="FW117" i="9"/>
  <c r="FW106" i="9"/>
  <c r="FV107" i="9"/>
  <c r="FV108" i="9"/>
  <c r="FV109" i="9"/>
  <c r="FV110" i="9"/>
  <c r="FV111" i="9"/>
  <c r="FV112" i="9"/>
  <c r="FV113" i="9"/>
  <c r="FV114" i="9"/>
  <c r="FV115" i="9"/>
  <c r="FV116" i="9"/>
  <c r="FV117" i="9"/>
  <c r="FV106" i="9"/>
  <c r="FU107" i="9"/>
  <c r="FU108" i="9"/>
  <c r="FU109" i="9"/>
  <c r="FU110" i="9"/>
  <c r="FU111" i="9"/>
  <c r="FU112" i="9"/>
  <c r="FU113" i="9"/>
  <c r="FU114" i="9"/>
  <c r="FU115" i="9"/>
  <c r="FU116" i="9"/>
  <c r="FU117" i="9"/>
  <c r="FU106" i="9"/>
  <c r="FT107" i="9"/>
  <c r="FT108" i="9"/>
  <c r="FT109" i="9"/>
  <c r="FT110" i="9"/>
  <c r="FT111" i="9"/>
  <c r="FT112" i="9"/>
  <c r="FT113" i="9"/>
  <c r="FT114" i="9"/>
  <c r="FT115" i="9"/>
  <c r="FT116" i="9"/>
  <c r="FT117" i="9"/>
  <c r="FT106" i="9"/>
  <c r="FS107" i="9"/>
  <c r="FS108" i="9"/>
  <c r="FS109" i="9"/>
  <c r="FS110" i="9"/>
  <c r="FS111" i="9"/>
  <c r="FS112" i="9"/>
  <c r="FS113" i="9"/>
  <c r="FS114" i="9"/>
  <c r="FS115" i="9"/>
  <c r="FS116" i="9"/>
  <c r="FS117" i="9"/>
  <c r="FS106" i="9"/>
  <c r="FR107" i="9"/>
  <c r="FR108" i="9"/>
  <c r="FR109" i="9"/>
  <c r="FR110" i="9"/>
  <c r="FR111" i="9"/>
  <c r="FR112" i="9"/>
  <c r="FR113" i="9"/>
  <c r="FR114" i="9"/>
  <c r="FR115" i="9"/>
  <c r="FR116" i="9"/>
  <c r="FR117" i="9"/>
  <c r="FR106" i="9"/>
  <c r="FQ107" i="9"/>
  <c r="FQ108" i="9"/>
  <c r="FQ109" i="9"/>
  <c r="FQ110" i="9"/>
  <c r="FQ111" i="9"/>
  <c r="FQ112" i="9"/>
  <c r="FQ113" i="9"/>
  <c r="FQ114" i="9"/>
  <c r="FQ115" i="9"/>
  <c r="FQ116" i="9"/>
  <c r="FQ117" i="9"/>
  <c r="FQ106" i="9"/>
  <c r="FP107" i="9"/>
  <c r="FP108" i="9"/>
  <c r="FP109" i="9"/>
  <c r="FP110" i="9"/>
  <c r="FP111" i="9"/>
  <c r="FP112" i="9"/>
  <c r="FP113" i="9"/>
  <c r="FP114" i="9"/>
  <c r="FP115" i="9"/>
  <c r="FP116" i="9"/>
  <c r="FP117" i="9"/>
  <c r="FP106" i="9"/>
  <c r="FO107" i="9"/>
  <c r="FO108" i="9"/>
  <c r="FO109" i="9"/>
  <c r="FO110" i="9"/>
  <c r="FO111" i="9"/>
  <c r="FO112" i="9"/>
  <c r="FO113" i="9"/>
  <c r="FO114" i="9"/>
  <c r="FO115" i="9"/>
  <c r="FO116" i="9"/>
  <c r="FO117" i="9"/>
  <c r="FO106" i="9"/>
  <c r="FN107" i="9"/>
  <c r="FN108" i="9"/>
  <c r="FN109" i="9"/>
  <c r="FN110" i="9"/>
  <c r="FN111" i="9"/>
  <c r="FN112" i="9"/>
  <c r="FN113" i="9"/>
  <c r="FN114" i="9"/>
  <c r="FN115" i="9"/>
  <c r="FN116" i="9"/>
  <c r="FN117" i="9"/>
  <c r="FN106" i="9"/>
  <c r="FM107" i="9"/>
  <c r="FM108" i="9"/>
  <c r="FM109" i="9"/>
  <c r="FM110" i="9"/>
  <c r="FM111" i="9"/>
  <c r="FM112" i="9"/>
  <c r="FM113" i="9"/>
  <c r="FM114" i="9"/>
  <c r="FM115" i="9"/>
  <c r="FM116" i="9"/>
  <c r="FM117" i="9"/>
  <c r="FM106" i="9"/>
  <c r="FL107" i="9"/>
  <c r="FL108" i="9"/>
  <c r="FL109" i="9"/>
  <c r="FL110" i="9"/>
  <c r="FL111" i="9"/>
  <c r="FL112" i="9"/>
  <c r="FL113" i="9"/>
  <c r="FL114" i="9"/>
  <c r="FL115" i="9"/>
  <c r="FL116" i="9"/>
  <c r="FL117" i="9"/>
  <c r="FL106" i="9"/>
  <c r="FK107" i="9"/>
  <c r="FK108" i="9"/>
  <c r="FK109" i="9"/>
  <c r="FK110" i="9"/>
  <c r="FK111" i="9"/>
  <c r="FK112" i="9"/>
  <c r="FK113" i="9"/>
  <c r="FK114" i="9"/>
  <c r="FK115" i="9"/>
  <c r="FK116" i="9"/>
  <c r="FK117" i="9"/>
  <c r="FK106" i="9"/>
  <c r="FJ107" i="9"/>
  <c r="FJ108" i="9"/>
  <c r="FJ109" i="9"/>
  <c r="FJ110" i="9"/>
  <c r="FJ111" i="9"/>
  <c r="FJ112" i="9"/>
  <c r="FJ113" i="9"/>
  <c r="FJ114" i="9"/>
  <c r="FJ115" i="9"/>
  <c r="FJ116" i="9"/>
  <c r="FJ117" i="9"/>
  <c r="FJ106" i="9"/>
  <c r="FI107" i="9"/>
  <c r="FI108" i="9"/>
  <c r="FI109" i="9"/>
  <c r="FI110" i="9"/>
  <c r="FI111" i="9"/>
  <c r="FI112" i="9"/>
  <c r="FI113" i="9"/>
  <c r="FI114" i="9"/>
  <c r="FI115" i="9"/>
  <c r="FI116" i="9"/>
  <c r="FI117" i="9"/>
  <c r="FI106" i="9"/>
  <c r="FH107" i="9"/>
  <c r="FH108" i="9"/>
  <c r="FH109" i="9"/>
  <c r="FH110" i="9"/>
  <c r="FH111" i="9"/>
  <c r="FH112" i="9"/>
  <c r="FH113" i="9"/>
  <c r="FH114" i="9"/>
  <c r="FH115" i="9"/>
  <c r="FH116" i="9"/>
  <c r="FH117" i="9"/>
  <c r="FH106" i="9"/>
  <c r="FG107" i="9"/>
  <c r="FG108" i="9"/>
  <c r="FG109" i="9"/>
  <c r="FG110" i="9"/>
  <c r="FG111" i="9"/>
  <c r="FG112" i="9"/>
  <c r="FG113" i="9"/>
  <c r="FG114" i="9"/>
  <c r="FG115" i="9"/>
  <c r="FG116" i="9"/>
  <c r="FG117" i="9"/>
  <c r="FG106" i="9"/>
  <c r="FF107" i="9"/>
  <c r="FF108" i="9"/>
  <c r="FF109" i="9"/>
  <c r="FF110" i="9"/>
  <c r="FF111" i="9"/>
  <c r="FF112" i="9"/>
  <c r="FF113" i="9"/>
  <c r="FF114" i="9"/>
  <c r="FF115" i="9"/>
  <c r="FF116" i="9"/>
  <c r="FF117" i="9"/>
  <c r="FF106" i="9"/>
  <c r="FE107" i="9"/>
  <c r="FE108" i="9"/>
  <c r="FE109" i="9"/>
  <c r="FE110" i="9"/>
  <c r="FE111" i="9"/>
  <c r="FE112" i="9"/>
  <c r="FE113" i="9"/>
  <c r="FE114" i="9"/>
  <c r="FE115" i="9"/>
  <c r="FE116" i="9"/>
  <c r="FE117" i="9"/>
  <c r="FE106" i="9"/>
  <c r="FD107" i="9"/>
  <c r="FD108" i="9"/>
  <c r="FD109" i="9"/>
  <c r="FD110" i="9"/>
  <c r="FD111" i="9"/>
  <c r="FD112" i="9"/>
  <c r="FD113" i="9"/>
  <c r="FD114" i="9"/>
  <c r="FD115" i="9"/>
  <c r="FD116" i="9"/>
  <c r="FD117" i="9"/>
  <c r="FD106" i="9"/>
  <c r="FC107" i="9"/>
  <c r="FC108" i="9"/>
  <c r="FC109" i="9"/>
  <c r="FC110" i="9"/>
  <c r="FC111" i="9"/>
  <c r="FC112" i="9"/>
  <c r="FC113" i="9"/>
  <c r="FC114" i="9"/>
  <c r="FC115" i="9"/>
  <c r="FC116" i="9"/>
  <c r="FC117" i="9"/>
  <c r="FC106" i="9"/>
  <c r="FB107" i="9"/>
  <c r="FB108" i="9"/>
  <c r="FB109" i="9"/>
  <c r="FB110" i="9"/>
  <c r="FB111" i="9"/>
  <c r="FB112" i="9"/>
  <c r="FB113" i="9"/>
  <c r="FB114" i="9"/>
  <c r="FB115" i="9"/>
  <c r="FB116" i="9"/>
  <c r="FB117" i="9"/>
  <c r="FB106" i="9"/>
  <c r="FA107" i="9"/>
  <c r="FA108" i="9"/>
  <c r="FA109" i="9"/>
  <c r="FA110" i="9"/>
  <c r="FA111" i="9"/>
  <c r="FA112" i="9"/>
  <c r="FA113" i="9"/>
  <c r="FA114" i="9"/>
  <c r="FA115" i="9"/>
  <c r="FA116" i="9"/>
  <c r="FA117" i="9"/>
  <c r="FA106" i="9"/>
  <c r="EZ107" i="9"/>
  <c r="EZ108" i="9"/>
  <c r="EZ109" i="9"/>
  <c r="EZ110" i="9"/>
  <c r="EZ111" i="9"/>
  <c r="EZ112" i="9"/>
  <c r="EZ113" i="9"/>
  <c r="EZ114" i="9"/>
  <c r="EZ115" i="9"/>
  <c r="EZ116" i="9"/>
  <c r="EZ117" i="9"/>
  <c r="EZ106" i="9"/>
  <c r="NL107" i="9"/>
  <c r="NL108" i="9"/>
  <c r="NL109" i="9"/>
  <c r="NL110" i="9"/>
  <c r="NL111" i="9"/>
  <c r="NL112" i="9"/>
  <c r="NL113" i="9"/>
  <c r="NL114" i="9"/>
  <c r="NL115" i="9"/>
  <c r="NL116" i="9"/>
  <c r="NL117" i="9"/>
  <c r="NL106" i="9"/>
  <c r="NK107" i="9"/>
  <c r="NK108" i="9"/>
  <c r="NK109" i="9"/>
  <c r="NK110" i="9"/>
  <c r="NK111" i="9"/>
  <c r="NK112" i="9"/>
  <c r="NK113" i="9"/>
  <c r="NK114" i="9"/>
  <c r="NK115" i="9"/>
  <c r="NK116" i="9"/>
  <c r="NK117" i="9"/>
  <c r="NK106" i="9"/>
  <c r="NJ107" i="9"/>
  <c r="NJ108" i="9"/>
  <c r="NJ109" i="9"/>
  <c r="NJ110" i="9"/>
  <c r="NJ111" i="9"/>
  <c r="NJ112" i="9"/>
  <c r="NJ113" i="9"/>
  <c r="NJ114" i="9"/>
  <c r="NJ115" i="9"/>
  <c r="NJ116" i="9"/>
  <c r="NJ117" i="9"/>
  <c r="NJ106" i="9"/>
  <c r="NI107" i="9"/>
  <c r="NI108" i="9"/>
  <c r="NI109" i="9"/>
  <c r="NI110" i="9"/>
  <c r="NI111" i="9"/>
  <c r="NI112" i="9"/>
  <c r="NI113" i="9"/>
  <c r="NI114" i="9"/>
  <c r="NI115" i="9"/>
  <c r="NI116" i="9"/>
  <c r="NI117" i="9"/>
  <c r="NI106" i="9"/>
  <c r="NH107" i="9"/>
  <c r="NH108" i="9"/>
  <c r="NH109" i="9"/>
  <c r="NH110" i="9"/>
  <c r="NH111" i="9"/>
  <c r="NH112" i="9"/>
  <c r="NH113" i="9"/>
  <c r="NH114" i="9"/>
  <c r="NH115" i="9"/>
  <c r="NH116" i="9"/>
  <c r="NH117" i="9"/>
  <c r="NH106" i="9"/>
  <c r="NG107" i="9"/>
  <c r="NG108" i="9"/>
  <c r="NG109" i="9"/>
  <c r="NG110" i="9"/>
  <c r="NG111" i="9"/>
  <c r="NG112" i="9"/>
  <c r="NG113" i="9"/>
  <c r="NG114" i="9"/>
  <c r="NG115" i="9"/>
  <c r="NG116" i="9"/>
  <c r="NG117" i="9"/>
  <c r="NG106" i="9"/>
  <c r="NF107" i="9"/>
  <c r="NF108" i="9"/>
  <c r="NF109" i="9"/>
  <c r="NF110" i="9"/>
  <c r="NF111" i="9"/>
  <c r="NF112" i="9"/>
  <c r="NF113" i="9"/>
  <c r="NF114" i="9"/>
  <c r="NF115" i="9"/>
  <c r="NF116" i="9"/>
  <c r="NF117" i="9"/>
  <c r="NF106" i="9"/>
  <c r="NE107" i="9"/>
  <c r="NE108" i="9"/>
  <c r="NE109" i="9"/>
  <c r="NE110" i="9"/>
  <c r="NE111" i="9"/>
  <c r="NE112" i="9"/>
  <c r="NE113" i="9"/>
  <c r="NE114" i="9"/>
  <c r="NE115" i="9"/>
  <c r="NE116" i="9"/>
  <c r="NE117" i="9"/>
  <c r="NE106" i="9"/>
  <c r="ND107" i="9"/>
  <c r="ND108" i="9"/>
  <c r="ND109" i="9"/>
  <c r="ND110" i="9"/>
  <c r="ND111" i="9"/>
  <c r="ND112" i="9"/>
  <c r="ND113" i="9"/>
  <c r="ND114" i="9"/>
  <c r="ND115" i="9"/>
  <c r="ND116" i="9"/>
  <c r="ND117" i="9"/>
  <c r="ND106" i="9"/>
  <c r="NC107" i="9"/>
  <c r="NC108" i="9"/>
  <c r="NC109" i="9"/>
  <c r="NC110" i="9"/>
  <c r="NC111" i="9"/>
  <c r="NC112" i="9"/>
  <c r="NC113" i="9"/>
  <c r="NC114" i="9"/>
  <c r="NC115" i="9"/>
  <c r="NC116" i="9"/>
  <c r="NC117" i="9"/>
  <c r="NC106" i="9"/>
  <c r="NB107" i="9"/>
  <c r="NB108" i="9"/>
  <c r="NB109" i="9"/>
  <c r="NB110" i="9"/>
  <c r="NB111" i="9"/>
  <c r="NB112" i="9"/>
  <c r="NB113" i="9"/>
  <c r="NB114" i="9"/>
  <c r="NB115" i="9"/>
  <c r="NB116" i="9"/>
  <c r="NB117" i="9"/>
  <c r="NB106" i="9"/>
  <c r="NA107" i="9"/>
  <c r="NA108" i="9"/>
  <c r="NA109" i="9"/>
  <c r="NA110" i="9"/>
  <c r="NA111" i="9"/>
  <c r="NA112" i="9"/>
  <c r="NA113" i="9"/>
  <c r="NA114" i="9"/>
  <c r="NA115" i="9"/>
  <c r="NA116" i="9"/>
  <c r="NA117" i="9"/>
  <c r="NA106" i="9"/>
  <c r="MZ107" i="9"/>
  <c r="MZ108" i="9"/>
  <c r="MZ109" i="9"/>
  <c r="MZ110" i="9"/>
  <c r="MZ111" i="9"/>
  <c r="MZ112" i="9"/>
  <c r="MZ113" i="9"/>
  <c r="MZ114" i="9"/>
  <c r="MZ115" i="9"/>
  <c r="MZ116" i="9"/>
  <c r="MZ117" i="9"/>
  <c r="MZ106" i="9"/>
  <c r="MY107" i="9"/>
  <c r="MY108" i="9"/>
  <c r="MY109" i="9"/>
  <c r="MY110" i="9"/>
  <c r="MY111" i="9"/>
  <c r="MY112" i="9"/>
  <c r="MY113" i="9"/>
  <c r="MY114" i="9"/>
  <c r="MY115" i="9"/>
  <c r="MY116" i="9"/>
  <c r="MY117" i="9"/>
  <c r="MY106" i="9"/>
  <c r="MX107" i="9"/>
  <c r="MX108" i="9"/>
  <c r="MX109" i="9"/>
  <c r="MX110" i="9"/>
  <c r="MX111" i="9"/>
  <c r="MX112" i="9"/>
  <c r="MX113" i="9"/>
  <c r="MX114" i="9"/>
  <c r="MX115" i="9"/>
  <c r="MX116" i="9"/>
  <c r="MX117" i="9"/>
  <c r="MX106" i="9"/>
  <c r="MW107" i="9"/>
  <c r="MW108" i="9"/>
  <c r="MW109" i="9"/>
  <c r="MW110" i="9"/>
  <c r="MW111" i="9"/>
  <c r="MW112" i="9"/>
  <c r="MW113" i="9"/>
  <c r="MW114" i="9"/>
  <c r="MW115" i="9"/>
  <c r="MW116" i="9"/>
  <c r="MW117" i="9"/>
  <c r="MW106" i="9"/>
  <c r="MV107" i="9"/>
  <c r="MV108" i="9"/>
  <c r="MV109" i="9"/>
  <c r="MV110" i="9"/>
  <c r="MV111" i="9"/>
  <c r="MV112" i="9"/>
  <c r="MV113" i="9"/>
  <c r="MV114" i="9"/>
  <c r="MV115" i="9"/>
  <c r="MV116" i="9"/>
  <c r="MV117" i="9"/>
  <c r="MV106" i="9"/>
  <c r="MT107" i="9"/>
  <c r="MT108" i="9"/>
  <c r="MT109" i="9"/>
  <c r="MT110" i="9"/>
  <c r="MT111" i="9"/>
  <c r="MT112" i="9"/>
  <c r="MT113" i="9"/>
  <c r="MT114" i="9"/>
  <c r="MT115" i="9"/>
  <c r="MT116" i="9"/>
  <c r="MT117" i="9"/>
  <c r="MT106" i="9"/>
  <c r="MU107" i="9"/>
  <c r="MU108" i="9"/>
  <c r="MU109" i="9"/>
  <c r="MU110" i="9"/>
  <c r="MU111" i="9"/>
  <c r="MU112" i="9"/>
  <c r="MU113" i="9"/>
  <c r="MU114" i="9"/>
  <c r="MU115" i="9"/>
  <c r="MU116" i="9"/>
  <c r="MU117" i="9"/>
  <c r="MU106" i="9"/>
  <c r="MS107" i="9"/>
  <c r="MS108" i="9"/>
  <c r="MS109" i="9"/>
  <c r="MS110" i="9"/>
  <c r="MS111" i="9"/>
  <c r="MS112" i="9"/>
  <c r="MS113" i="9"/>
  <c r="MS114" i="9"/>
  <c r="MS115" i="9"/>
  <c r="MS116" i="9"/>
  <c r="MS117" i="9"/>
  <c r="MS106" i="9"/>
  <c r="MR107" i="9"/>
  <c r="MR108" i="9"/>
  <c r="MR109" i="9"/>
  <c r="MR110" i="9"/>
  <c r="MR111" i="9"/>
  <c r="MR112" i="9"/>
  <c r="MR113" i="9"/>
  <c r="MR114" i="9"/>
  <c r="MR115" i="9"/>
  <c r="MR116" i="9"/>
  <c r="MR117" i="9"/>
  <c r="MR106" i="9"/>
  <c r="MQ107" i="9"/>
  <c r="MQ108" i="9"/>
  <c r="MQ109" i="9"/>
  <c r="MQ110" i="9"/>
  <c r="MQ111" i="9"/>
  <c r="MQ112" i="9"/>
  <c r="MQ113" i="9"/>
  <c r="MQ114" i="9"/>
  <c r="MQ115" i="9"/>
  <c r="MQ116" i="9"/>
  <c r="MQ117" i="9"/>
  <c r="MQ106" i="9"/>
  <c r="MP107" i="9"/>
  <c r="MP108" i="9"/>
  <c r="MP109" i="9"/>
  <c r="MP110" i="9"/>
  <c r="MP111" i="9"/>
  <c r="MP112" i="9"/>
  <c r="MP113" i="9"/>
  <c r="MP114" i="9"/>
  <c r="MP115" i="9"/>
  <c r="MP116" i="9"/>
  <c r="MP117" i="9"/>
  <c r="MP106" i="9"/>
  <c r="MO107" i="9"/>
  <c r="MO108" i="9"/>
  <c r="MO109" i="9"/>
  <c r="MO110" i="9"/>
  <c r="MO111" i="9"/>
  <c r="MO112" i="9"/>
  <c r="MO113" i="9"/>
  <c r="MO114" i="9"/>
  <c r="MO115" i="9"/>
  <c r="MO116" i="9"/>
  <c r="MO117" i="9"/>
  <c r="MO106" i="9"/>
  <c r="MN107" i="9"/>
  <c r="MN108" i="9"/>
  <c r="MN109" i="9"/>
  <c r="MN110" i="9"/>
  <c r="MN111" i="9"/>
  <c r="MN112" i="9"/>
  <c r="MN113" i="9"/>
  <c r="MN114" i="9"/>
  <c r="MN115" i="9"/>
  <c r="MN116" i="9"/>
  <c r="MN117" i="9"/>
  <c r="MN106" i="9"/>
  <c r="MM107" i="9"/>
  <c r="MM108" i="9"/>
  <c r="MM109" i="9"/>
  <c r="MM110" i="9"/>
  <c r="MM111" i="9"/>
  <c r="MM112" i="9"/>
  <c r="MM113" i="9"/>
  <c r="MM114" i="9"/>
  <c r="MM115" i="9"/>
  <c r="MM116" i="9"/>
  <c r="MM117" i="9"/>
  <c r="MM106" i="9"/>
  <c r="ML107" i="9"/>
  <c r="ML108" i="9"/>
  <c r="ML109" i="9"/>
  <c r="ML110" i="9"/>
  <c r="ML111" i="9"/>
  <c r="ML112" i="9"/>
  <c r="ML113" i="9"/>
  <c r="ML114" i="9"/>
  <c r="ML115" i="9"/>
  <c r="ML116" i="9"/>
  <c r="ML117" i="9"/>
  <c r="ML106" i="9"/>
  <c r="MK107" i="9"/>
  <c r="MK108" i="9"/>
  <c r="MK109" i="9"/>
  <c r="MK110" i="9"/>
  <c r="MK111" i="9"/>
  <c r="MK112" i="9"/>
  <c r="MK113" i="9"/>
  <c r="MK114" i="9"/>
  <c r="MK115" i="9"/>
  <c r="MK116" i="9"/>
  <c r="MK117" i="9"/>
  <c r="MK106" i="9"/>
  <c r="MJ107" i="9"/>
  <c r="MJ108" i="9"/>
  <c r="MJ109" i="9"/>
  <c r="MJ110" i="9"/>
  <c r="MJ111" i="9"/>
  <c r="MJ112" i="9"/>
  <c r="MJ113" i="9"/>
  <c r="MJ114" i="9"/>
  <c r="MJ115" i="9"/>
  <c r="MJ116" i="9"/>
  <c r="MJ117" i="9"/>
  <c r="MJ106" i="9"/>
  <c r="MI107" i="9"/>
  <c r="MI108" i="9"/>
  <c r="MI109" i="9"/>
  <c r="MI110" i="9"/>
  <c r="MI111" i="9"/>
  <c r="MI112" i="9"/>
  <c r="MI113" i="9"/>
  <c r="MI114" i="9"/>
  <c r="MI115" i="9"/>
  <c r="MI116" i="9"/>
  <c r="MI117" i="9"/>
  <c r="MI106" i="9"/>
  <c r="MH107" i="9"/>
  <c r="MH108" i="9"/>
  <c r="MH109" i="9"/>
  <c r="MH110" i="9"/>
  <c r="MH111" i="9"/>
  <c r="MH112" i="9"/>
  <c r="MH113" i="9"/>
  <c r="MH114" i="9"/>
  <c r="MH115" i="9"/>
  <c r="MH116" i="9"/>
  <c r="MH117" i="9"/>
  <c r="MH106" i="9"/>
  <c r="MG107" i="9"/>
  <c r="MG108" i="9"/>
  <c r="MG109" i="9"/>
  <c r="MG110" i="9"/>
  <c r="MG111" i="9"/>
  <c r="MG112" i="9"/>
  <c r="MG113" i="9"/>
  <c r="MG114" i="9"/>
  <c r="MG115" i="9"/>
  <c r="MG116" i="9"/>
  <c r="MG117" i="9"/>
  <c r="MG106" i="9"/>
  <c r="MF107" i="9"/>
  <c r="MF108" i="9"/>
  <c r="MF109" i="9"/>
  <c r="MF110" i="9"/>
  <c r="MF111" i="9"/>
  <c r="MF112" i="9"/>
  <c r="MF113" i="9"/>
  <c r="MF114" i="9"/>
  <c r="MF115" i="9"/>
  <c r="MF116" i="9"/>
  <c r="MF117" i="9"/>
  <c r="MF106" i="9"/>
  <c r="ME107" i="9"/>
  <c r="ME108" i="9"/>
  <c r="ME109" i="9"/>
  <c r="ME110" i="9"/>
  <c r="ME111" i="9"/>
  <c r="ME112" i="9"/>
  <c r="ME113" i="9"/>
  <c r="ME114" i="9"/>
  <c r="ME115" i="9"/>
  <c r="ME116" i="9"/>
  <c r="ME117" i="9"/>
  <c r="ME106" i="9"/>
  <c r="MD107" i="9"/>
  <c r="MD108" i="9"/>
  <c r="MD109" i="9"/>
  <c r="MD110" i="9"/>
  <c r="MD111" i="9"/>
  <c r="MD112" i="9"/>
  <c r="MD113" i="9"/>
  <c r="MD114" i="9"/>
  <c r="MD115" i="9"/>
  <c r="MD116" i="9"/>
  <c r="MD117" i="9"/>
  <c r="MD106" i="9"/>
  <c r="MC107" i="9"/>
  <c r="MC108" i="9"/>
  <c r="MC109" i="9"/>
  <c r="MC110" i="9"/>
  <c r="MC111" i="9"/>
  <c r="MC112" i="9"/>
  <c r="MC113" i="9"/>
  <c r="MC114" i="9"/>
  <c r="MC115" i="9"/>
  <c r="MC116" i="9"/>
  <c r="MC117" i="9"/>
  <c r="MC106" i="9"/>
  <c r="MB107" i="9"/>
  <c r="MB108" i="9"/>
  <c r="MB109" i="9"/>
  <c r="MB110" i="9"/>
  <c r="MB111" i="9"/>
  <c r="MB112" i="9"/>
  <c r="MB113" i="9"/>
  <c r="MB114" i="9"/>
  <c r="MB115" i="9"/>
  <c r="MB116" i="9"/>
  <c r="MB117" i="9"/>
  <c r="MB106" i="9"/>
  <c r="MA107" i="9"/>
  <c r="MA108" i="9"/>
  <c r="MA109" i="9"/>
  <c r="MA110" i="9"/>
  <c r="MA111" i="9"/>
  <c r="MA112" i="9"/>
  <c r="MA113" i="9"/>
  <c r="MA114" i="9"/>
  <c r="MA115" i="9"/>
  <c r="MA116" i="9"/>
  <c r="MA117" i="9"/>
  <c r="MA106" i="9"/>
  <c r="LZ107" i="9"/>
  <c r="LZ108" i="9"/>
  <c r="LZ109" i="9"/>
  <c r="LZ110" i="9"/>
  <c r="LZ111" i="9"/>
  <c r="LZ112" i="9"/>
  <c r="LZ113" i="9"/>
  <c r="LZ114" i="9"/>
  <c r="LZ115" i="9"/>
  <c r="LZ116" i="9"/>
  <c r="LZ117" i="9"/>
  <c r="LZ106" i="9"/>
  <c r="LY107" i="9"/>
  <c r="LY108" i="9"/>
  <c r="LY109" i="9"/>
  <c r="LY110" i="9"/>
  <c r="LY111" i="9"/>
  <c r="LY112" i="9"/>
  <c r="LY113" i="9"/>
  <c r="LY114" i="9"/>
  <c r="LY115" i="9"/>
  <c r="LY116" i="9"/>
  <c r="LY117" i="9"/>
  <c r="LY106" i="9"/>
  <c r="LX107" i="9"/>
  <c r="LX108" i="9"/>
  <c r="LX109" i="9"/>
  <c r="LX110" i="9"/>
  <c r="LX111" i="9"/>
  <c r="LX112" i="9"/>
  <c r="LX113" i="9"/>
  <c r="LX114" i="9"/>
  <c r="LX115" i="9"/>
  <c r="LX116" i="9"/>
  <c r="LX117" i="9"/>
  <c r="LX106" i="9"/>
  <c r="LW107" i="9"/>
  <c r="LW108" i="9"/>
  <c r="LW109" i="9"/>
  <c r="LW110" i="9"/>
  <c r="LW111" i="9"/>
  <c r="LW112" i="9"/>
  <c r="LW113" i="9"/>
  <c r="LW114" i="9"/>
  <c r="LW115" i="9"/>
  <c r="LW116" i="9"/>
  <c r="LW117" i="9"/>
  <c r="LW106" i="9"/>
  <c r="LV107" i="9"/>
  <c r="LV108" i="9"/>
  <c r="LV109" i="9"/>
  <c r="LV110" i="9"/>
  <c r="LV111" i="9"/>
  <c r="LV112" i="9"/>
  <c r="LV113" i="9"/>
  <c r="LV114" i="9"/>
  <c r="LV115" i="9"/>
  <c r="LV116" i="9"/>
  <c r="LV117" i="9"/>
  <c r="LV106" i="9"/>
  <c r="LU107" i="9"/>
  <c r="LU108" i="9"/>
  <c r="LU109" i="9"/>
  <c r="LU110" i="9"/>
  <c r="LU111" i="9"/>
  <c r="LU112" i="9"/>
  <c r="LU113" i="9"/>
  <c r="LU114" i="9"/>
  <c r="LU115" i="9"/>
  <c r="LU116" i="9"/>
  <c r="LU117" i="9"/>
  <c r="LU106" i="9"/>
  <c r="LT107" i="9"/>
  <c r="LT108" i="9"/>
  <c r="LT109" i="9"/>
  <c r="LT110" i="9"/>
  <c r="LT111" i="9"/>
  <c r="LT112" i="9"/>
  <c r="LT113" i="9"/>
  <c r="LT114" i="9"/>
  <c r="LT115" i="9"/>
  <c r="LT116" i="9"/>
  <c r="LT117" i="9"/>
  <c r="LT106" i="9"/>
  <c r="LS107" i="9"/>
  <c r="LS108" i="9"/>
  <c r="LS109" i="9"/>
  <c r="LS110" i="9"/>
  <c r="LS111" i="9"/>
  <c r="LS112" i="9"/>
  <c r="LS113" i="9"/>
  <c r="LS114" i="9"/>
  <c r="LS115" i="9"/>
  <c r="LS116" i="9"/>
  <c r="LS117" i="9"/>
  <c r="LS106" i="9"/>
  <c r="LR107" i="9"/>
  <c r="LR108" i="9"/>
  <c r="LR109" i="9"/>
  <c r="LR110" i="9"/>
  <c r="LR111" i="9"/>
  <c r="LR112" i="9"/>
  <c r="LR113" i="9"/>
  <c r="LR114" i="9"/>
  <c r="LR115" i="9"/>
  <c r="LR116" i="9"/>
  <c r="LR117" i="9"/>
  <c r="LR106" i="9"/>
  <c r="LQ107" i="9"/>
  <c r="LQ108" i="9"/>
  <c r="LQ109" i="9"/>
  <c r="LQ110" i="9"/>
  <c r="LQ111" i="9"/>
  <c r="LQ112" i="9"/>
  <c r="LQ113" i="9"/>
  <c r="LQ114" i="9"/>
  <c r="LQ115" i="9"/>
  <c r="LQ116" i="9"/>
  <c r="LQ117" i="9"/>
  <c r="LQ106" i="9"/>
  <c r="LP107" i="9"/>
  <c r="LP108" i="9"/>
  <c r="LP109" i="9"/>
  <c r="LP110" i="9"/>
  <c r="LP111" i="9"/>
  <c r="LP112" i="9"/>
  <c r="LP113" i="9"/>
  <c r="LP114" i="9"/>
  <c r="LP115" i="9"/>
  <c r="LP116" i="9"/>
  <c r="LP117" i="9"/>
  <c r="LP106" i="9"/>
  <c r="LO107" i="9"/>
  <c r="LO108" i="9"/>
  <c r="LO109" i="9"/>
  <c r="LO110" i="9"/>
  <c r="LO111" i="9"/>
  <c r="LO112" i="9"/>
  <c r="LO113" i="9"/>
  <c r="LO114" i="9"/>
  <c r="LO115" i="9"/>
  <c r="LO116" i="9"/>
  <c r="LO117" i="9"/>
  <c r="LO106" i="9"/>
  <c r="LN107" i="9"/>
  <c r="LN108" i="9"/>
  <c r="LN109" i="9"/>
  <c r="LN110" i="9"/>
  <c r="LN111" i="9"/>
  <c r="LN112" i="9"/>
  <c r="LN113" i="9"/>
  <c r="LN114" i="9"/>
  <c r="LN115" i="9"/>
  <c r="LN116" i="9"/>
  <c r="LN117" i="9"/>
  <c r="LN106" i="9"/>
  <c r="LM107" i="9"/>
  <c r="LM108" i="9"/>
  <c r="LM109" i="9"/>
  <c r="LM110" i="9"/>
  <c r="LM111" i="9"/>
  <c r="LM112" i="9"/>
  <c r="LM113" i="9"/>
  <c r="LM114" i="9"/>
  <c r="LM115" i="9"/>
  <c r="LM116" i="9"/>
  <c r="LM117" i="9"/>
  <c r="LM106" i="9"/>
  <c r="LL107" i="9"/>
  <c r="LL108" i="9"/>
  <c r="LL109" i="9"/>
  <c r="LL110" i="9"/>
  <c r="LL111" i="9"/>
  <c r="LL112" i="9"/>
  <c r="LL113" i="9"/>
  <c r="LL114" i="9"/>
  <c r="LL115" i="9"/>
  <c r="LL116" i="9"/>
  <c r="LL117" i="9"/>
  <c r="LL106" i="9"/>
  <c r="LK107" i="9"/>
  <c r="LK108" i="9"/>
  <c r="LK109" i="9"/>
  <c r="LK110" i="9"/>
  <c r="LK111" i="9"/>
  <c r="LK112" i="9"/>
  <c r="LK113" i="9"/>
  <c r="LK114" i="9"/>
  <c r="LK115" i="9"/>
  <c r="LK116" i="9"/>
  <c r="LK117" i="9"/>
  <c r="LK106" i="9"/>
  <c r="LJ107" i="9"/>
  <c r="LJ108" i="9"/>
  <c r="LJ109" i="9"/>
  <c r="LJ110" i="9"/>
  <c r="LJ111" i="9"/>
  <c r="LJ112" i="9"/>
  <c r="LJ113" i="9"/>
  <c r="LJ114" i="9"/>
  <c r="LJ115" i="9"/>
  <c r="LJ116" i="9"/>
  <c r="LJ117" i="9"/>
  <c r="LI107" i="9"/>
  <c r="LI108" i="9"/>
  <c r="LI110" i="9"/>
  <c r="LI111" i="9"/>
  <c r="LI112" i="9"/>
  <c r="LI113" i="9"/>
  <c r="LI114" i="9"/>
  <c r="LI115" i="9"/>
  <c r="LI116" i="9"/>
  <c r="LI117" i="9"/>
  <c r="LI106" i="9"/>
  <c r="LH107" i="9"/>
  <c r="LH109" i="9"/>
  <c r="LH110" i="9"/>
  <c r="LH111" i="9"/>
  <c r="LH112" i="9"/>
  <c r="LH113" i="9"/>
  <c r="LH114" i="9"/>
  <c r="LH115" i="9"/>
  <c r="LH116" i="9"/>
  <c r="LH117" i="9"/>
  <c r="LH106" i="9"/>
  <c r="LG108" i="9"/>
  <c r="LG109" i="9"/>
  <c r="LG110" i="9"/>
  <c r="LG111" i="9"/>
  <c r="LG112" i="9"/>
  <c r="LG113" i="9"/>
  <c r="LG114" i="9"/>
  <c r="LG115" i="9"/>
  <c r="LG116" i="9"/>
  <c r="LG117" i="9"/>
  <c r="LG106" i="9"/>
  <c r="LF107" i="9"/>
  <c r="LF108" i="9"/>
  <c r="LF110" i="9"/>
  <c r="LF111" i="9"/>
  <c r="LF112" i="9"/>
  <c r="LF113" i="9"/>
  <c r="LF114" i="9"/>
  <c r="LF115" i="9"/>
  <c r="LF116" i="9"/>
  <c r="LF117" i="9"/>
  <c r="LF106" i="9"/>
  <c r="LE107" i="9"/>
  <c r="LE109" i="9"/>
  <c r="LE110" i="9"/>
  <c r="LE111" i="9"/>
  <c r="LE112" i="9"/>
  <c r="LE113" i="9"/>
  <c r="LE114" i="9"/>
  <c r="LE115" i="9"/>
  <c r="LE116" i="9"/>
  <c r="LE117" i="9"/>
  <c r="LD108" i="9"/>
  <c r="LD109" i="9"/>
  <c r="LD110" i="9"/>
  <c r="LD111" i="9"/>
  <c r="LD112" i="9"/>
  <c r="LD113" i="9"/>
  <c r="LD114" i="9"/>
  <c r="LD115" i="9"/>
  <c r="LD116" i="9"/>
  <c r="LD117" i="9"/>
  <c r="LC107" i="9"/>
  <c r="LC108" i="9"/>
  <c r="LC109" i="9"/>
  <c r="LC110" i="9"/>
  <c r="LC111" i="9"/>
  <c r="LC112" i="9"/>
  <c r="LC113" i="9"/>
  <c r="LC114" i="9"/>
  <c r="LC115" i="9"/>
  <c r="LC116" i="9"/>
  <c r="LC117" i="9"/>
  <c r="LE106" i="9"/>
  <c r="LD106" i="9"/>
  <c r="LA107" i="9"/>
  <c r="LA108" i="9"/>
  <c r="LA109" i="9"/>
  <c r="LA110" i="9"/>
  <c r="LA111" i="9"/>
  <c r="LA112" i="9"/>
  <c r="LA113" i="9"/>
  <c r="LA114" i="9"/>
  <c r="LA115" i="9"/>
  <c r="LA116" i="9"/>
  <c r="LA117" i="9"/>
  <c r="LA106" i="9"/>
  <c r="KZ107" i="9"/>
  <c r="KZ108" i="9"/>
  <c r="KZ109" i="9"/>
  <c r="KZ110" i="9"/>
  <c r="KZ111" i="9"/>
  <c r="KZ112" i="9"/>
  <c r="KZ113" i="9"/>
  <c r="KZ114" i="9"/>
  <c r="KZ115" i="9"/>
  <c r="KZ116" i="9"/>
  <c r="KZ117" i="9"/>
  <c r="KZ106" i="9"/>
  <c r="KY107" i="9"/>
  <c r="KY108" i="9"/>
  <c r="KY109" i="9"/>
  <c r="KY110" i="9"/>
  <c r="KY111" i="9"/>
  <c r="KY112" i="9"/>
  <c r="KY113" i="9"/>
  <c r="KY114" i="9"/>
  <c r="KY115" i="9"/>
  <c r="KY116" i="9"/>
  <c r="KY117" i="9"/>
  <c r="KY106" i="9"/>
  <c r="KX107" i="9"/>
  <c r="KX108" i="9"/>
  <c r="KX109" i="9"/>
  <c r="KX110" i="9"/>
  <c r="KX111" i="9"/>
  <c r="KX112" i="9"/>
  <c r="KX113" i="9"/>
  <c r="KX114" i="9"/>
  <c r="KX115" i="9"/>
  <c r="KX116" i="9"/>
  <c r="KX117" i="9"/>
  <c r="KX106" i="9"/>
  <c r="KW107" i="9"/>
  <c r="KW108" i="9"/>
  <c r="KW109" i="9"/>
  <c r="KW110" i="9"/>
  <c r="KW111" i="9"/>
  <c r="KW112" i="9"/>
  <c r="KW113" i="9"/>
  <c r="KW114" i="9"/>
  <c r="KW115" i="9"/>
  <c r="KW116" i="9"/>
  <c r="KW117" i="9"/>
  <c r="KW106" i="9"/>
  <c r="KV107" i="9"/>
  <c r="KV108" i="9"/>
  <c r="KV109" i="9"/>
  <c r="KV110" i="9"/>
  <c r="KV111" i="9"/>
  <c r="KV112" i="9"/>
  <c r="KV113" i="9"/>
  <c r="KV114" i="9"/>
  <c r="KV115" i="9"/>
  <c r="KV116" i="9"/>
  <c r="KV117" i="9"/>
  <c r="KV106" i="9"/>
  <c r="KU107" i="9"/>
  <c r="KU108" i="9"/>
  <c r="KU109" i="9"/>
  <c r="KU110" i="9"/>
  <c r="KU111" i="9"/>
  <c r="KU112" i="9"/>
  <c r="KU113" i="9"/>
  <c r="KU114" i="9"/>
  <c r="KU115" i="9"/>
  <c r="KU116" i="9"/>
  <c r="KU117" i="9"/>
  <c r="KU106" i="9"/>
  <c r="KT107" i="9"/>
  <c r="KT108" i="9"/>
  <c r="KT109" i="9"/>
  <c r="KT110" i="9"/>
  <c r="KT111" i="9"/>
  <c r="KT112" i="9"/>
  <c r="KT113" i="9"/>
  <c r="KT114" i="9"/>
  <c r="KT115" i="9"/>
  <c r="KT116" i="9"/>
  <c r="KT117" i="9"/>
  <c r="KT106" i="9"/>
  <c r="KS107" i="9"/>
  <c r="KS108" i="9"/>
  <c r="KS109" i="9"/>
  <c r="KS110" i="9"/>
  <c r="KS111" i="9"/>
  <c r="KS112" i="9"/>
  <c r="KS113" i="9"/>
  <c r="KS114" i="9"/>
  <c r="KS115" i="9"/>
  <c r="KS116" i="9"/>
  <c r="KS117" i="9"/>
  <c r="KS106" i="9"/>
  <c r="KR107" i="9"/>
  <c r="KR108" i="9"/>
  <c r="KR109" i="9"/>
  <c r="KR110" i="9"/>
  <c r="KR111" i="9"/>
  <c r="KR112" i="9"/>
  <c r="KR113" i="9"/>
  <c r="KR114" i="9"/>
  <c r="KR115" i="9"/>
  <c r="KR116" i="9"/>
  <c r="KR117" i="9"/>
  <c r="KR106" i="9"/>
  <c r="KQ107" i="9"/>
  <c r="KQ108" i="9"/>
  <c r="KQ109" i="9"/>
  <c r="KQ110" i="9"/>
  <c r="KQ111" i="9"/>
  <c r="KQ112" i="9"/>
  <c r="KQ113" i="9"/>
  <c r="KQ114" i="9"/>
  <c r="KQ115" i="9"/>
  <c r="KQ116" i="9"/>
  <c r="KQ117" i="9"/>
  <c r="KQ106" i="9"/>
  <c r="KP107" i="9"/>
  <c r="KP108" i="9"/>
  <c r="KP109" i="9"/>
  <c r="KP110" i="9"/>
  <c r="KP111" i="9"/>
  <c r="KP112" i="9"/>
  <c r="KP113" i="9"/>
  <c r="KP114" i="9"/>
  <c r="KP115" i="9"/>
  <c r="KP116" i="9"/>
  <c r="KP117" i="9"/>
  <c r="KP106" i="9"/>
  <c r="KO107" i="9"/>
  <c r="KO108" i="9"/>
  <c r="KO109" i="9"/>
  <c r="KO110" i="9"/>
  <c r="KO111" i="9"/>
  <c r="KO112" i="9"/>
  <c r="KO113" i="9"/>
  <c r="KO114" i="9"/>
  <c r="KO115" i="9"/>
  <c r="KO116" i="9"/>
  <c r="KO117" i="9"/>
  <c r="KO106" i="9"/>
  <c r="KN107" i="9"/>
  <c r="KN108" i="9"/>
  <c r="KN109" i="9"/>
  <c r="KN110" i="9"/>
  <c r="KN111" i="9"/>
  <c r="KN112" i="9"/>
  <c r="KN113" i="9"/>
  <c r="KN114" i="9"/>
  <c r="KN115" i="9"/>
  <c r="KN116" i="9"/>
  <c r="KN117" i="9"/>
  <c r="KN106" i="9"/>
  <c r="KM107" i="9"/>
  <c r="KM108" i="9"/>
  <c r="KM109" i="9"/>
  <c r="KM110" i="9"/>
  <c r="KM111" i="9"/>
  <c r="KM112" i="9"/>
  <c r="KM113" i="9"/>
  <c r="KM114" i="9"/>
  <c r="KM115" i="9"/>
  <c r="KM116" i="9"/>
  <c r="KM117" i="9"/>
  <c r="KM106" i="9"/>
  <c r="KL107" i="9"/>
  <c r="KL108" i="9"/>
  <c r="KL109" i="9"/>
  <c r="KL110" i="9"/>
  <c r="KL111" i="9"/>
  <c r="KL112" i="9"/>
  <c r="KL113" i="9"/>
  <c r="KL114" i="9"/>
  <c r="KL115" i="9"/>
  <c r="KL116" i="9"/>
  <c r="KL117" i="9"/>
  <c r="KL106" i="9"/>
  <c r="KK107" i="9"/>
  <c r="KK108" i="9"/>
  <c r="KK109" i="9"/>
  <c r="KK110" i="9"/>
  <c r="KK111" i="9"/>
  <c r="KK112" i="9"/>
  <c r="KK113" i="9"/>
  <c r="KK114" i="9"/>
  <c r="KK115" i="9"/>
  <c r="KK116" i="9"/>
  <c r="KK117" i="9"/>
  <c r="KK106" i="9"/>
  <c r="KJ107" i="9"/>
  <c r="KJ108" i="9"/>
  <c r="KJ109" i="9"/>
  <c r="KJ110" i="9"/>
  <c r="KJ111" i="9"/>
  <c r="KJ112" i="9"/>
  <c r="KJ113" i="9"/>
  <c r="KJ114" i="9"/>
  <c r="KJ115" i="9"/>
  <c r="KJ116" i="9"/>
  <c r="KJ117" i="9"/>
  <c r="KJ106" i="9"/>
  <c r="KI107" i="9"/>
  <c r="KI108" i="9"/>
  <c r="KI109" i="9"/>
  <c r="KI110" i="9"/>
  <c r="KI111" i="9"/>
  <c r="KI112" i="9"/>
  <c r="KI113" i="9"/>
  <c r="KI114" i="9"/>
  <c r="KI115" i="9"/>
  <c r="KI116" i="9"/>
  <c r="KI117" i="9"/>
  <c r="KI106" i="9"/>
  <c r="KH107" i="9"/>
  <c r="KH108" i="9"/>
  <c r="KH109" i="9"/>
  <c r="KH110" i="9"/>
  <c r="KH111" i="9"/>
  <c r="KH112" i="9"/>
  <c r="KH113" i="9"/>
  <c r="KH114" i="9"/>
  <c r="KH115" i="9"/>
  <c r="KH116" i="9"/>
  <c r="KH117" i="9"/>
  <c r="KH106" i="9"/>
  <c r="KG107" i="9"/>
  <c r="KG108" i="9"/>
  <c r="KG109" i="9"/>
  <c r="KG110" i="9"/>
  <c r="KG111" i="9"/>
  <c r="KG112" i="9"/>
  <c r="KG113" i="9"/>
  <c r="KG114" i="9"/>
  <c r="KG115" i="9"/>
  <c r="KG116" i="9"/>
  <c r="KG117" i="9"/>
  <c r="KG106" i="9"/>
  <c r="KF107" i="9"/>
  <c r="KF108" i="9"/>
  <c r="KF109" i="9"/>
  <c r="KF110" i="9"/>
  <c r="KF111" i="9"/>
  <c r="KF112" i="9"/>
  <c r="KF113" i="9"/>
  <c r="KF114" i="9"/>
  <c r="KF115" i="9"/>
  <c r="KF116" i="9"/>
  <c r="KF117" i="9"/>
  <c r="KF106" i="9"/>
  <c r="KE107" i="9"/>
  <c r="KE108" i="9"/>
  <c r="KE109" i="9"/>
  <c r="KE110" i="9"/>
  <c r="KE111" i="9"/>
  <c r="KE112" i="9"/>
  <c r="KE113" i="9"/>
  <c r="KE114" i="9"/>
  <c r="KE115" i="9"/>
  <c r="KE116" i="9"/>
  <c r="KE117" i="9"/>
  <c r="KE106" i="9"/>
  <c r="KD107" i="9"/>
  <c r="KD108" i="9"/>
  <c r="KD109" i="9"/>
  <c r="KD110" i="9"/>
  <c r="KD111" i="9"/>
  <c r="KD112" i="9"/>
  <c r="KD113" i="9"/>
  <c r="KD114" i="9"/>
  <c r="KD115" i="9"/>
  <c r="KD116" i="9"/>
  <c r="KD117" i="9"/>
  <c r="KD106" i="9"/>
  <c r="KC107" i="9"/>
  <c r="KC108" i="9"/>
  <c r="KC109" i="9"/>
  <c r="KC110" i="9"/>
  <c r="KC111" i="9"/>
  <c r="KC112" i="9"/>
  <c r="KC113" i="9"/>
  <c r="KC114" i="9"/>
  <c r="KC115" i="9"/>
  <c r="KC116" i="9"/>
  <c r="KC117" i="9"/>
  <c r="KC106" i="9"/>
  <c r="KB107" i="9"/>
  <c r="KB108" i="9"/>
  <c r="KB109" i="9"/>
  <c r="KB110" i="9"/>
  <c r="KB111" i="9"/>
  <c r="KB112" i="9"/>
  <c r="KB113" i="9"/>
  <c r="KB114" i="9"/>
  <c r="KB115" i="9"/>
  <c r="KB116" i="9"/>
  <c r="KB117" i="9"/>
  <c r="KB106" i="9"/>
  <c r="KA107" i="9"/>
  <c r="KA108" i="9"/>
  <c r="KA109" i="9"/>
  <c r="KA110" i="9"/>
  <c r="KA111" i="9"/>
  <c r="KA112" i="9"/>
  <c r="KA113" i="9"/>
  <c r="KA114" i="9"/>
  <c r="KA115" i="9"/>
  <c r="KA116" i="9"/>
  <c r="KA117" i="9"/>
  <c r="KA106" i="9"/>
  <c r="JZ107" i="9"/>
  <c r="JZ108" i="9"/>
  <c r="JZ109" i="9"/>
  <c r="JZ110" i="9"/>
  <c r="JZ111" i="9"/>
  <c r="JZ112" i="9"/>
  <c r="JZ113" i="9"/>
  <c r="JZ114" i="9"/>
  <c r="JZ115" i="9"/>
  <c r="JZ116" i="9"/>
  <c r="JZ117" i="9"/>
  <c r="JZ106" i="9"/>
  <c r="JY107" i="9"/>
  <c r="JY108" i="9"/>
  <c r="JY109" i="9"/>
  <c r="JY110" i="9"/>
  <c r="JY111" i="9"/>
  <c r="JY112" i="9"/>
  <c r="JY113" i="9"/>
  <c r="JY114" i="9"/>
  <c r="JY115" i="9"/>
  <c r="JY116" i="9"/>
  <c r="JY117" i="9"/>
  <c r="JX107" i="9"/>
  <c r="JX108" i="9"/>
  <c r="JX109" i="9"/>
  <c r="JX110" i="9"/>
  <c r="JX111" i="9"/>
  <c r="JX112" i="9"/>
  <c r="JX113" i="9"/>
  <c r="JX114" i="9"/>
  <c r="JX115" i="9"/>
  <c r="JX116" i="9"/>
  <c r="JX117" i="9"/>
  <c r="JX106" i="9"/>
  <c r="JY106" i="9"/>
  <c r="JW107" i="9"/>
  <c r="JW108" i="9"/>
  <c r="JW109" i="9"/>
  <c r="JW110" i="9"/>
  <c r="JW111" i="9"/>
  <c r="JW112" i="9"/>
  <c r="JW113" i="9"/>
  <c r="JW114" i="9"/>
  <c r="JW115" i="9"/>
  <c r="JW116" i="9"/>
  <c r="JW117" i="9"/>
  <c r="JW106" i="9"/>
  <c r="JV107" i="9"/>
  <c r="JV108" i="9"/>
  <c r="JV109" i="9"/>
  <c r="JV110" i="9"/>
  <c r="JV111" i="9"/>
  <c r="JV112" i="9"/>
  <c r="JV113" i="9"/>
  <c r="JV114" i="9"/>
  <c r="JV115" i="9"/>
  <c r="JV116" i="9"/>
  <c r="JV117" i="9"/>
  <c r="JV106" i="9"/>
  <c r="JU107" i="9"/>
  <c r="JU108" i="9"/>
  <c r="JU109" i="9"/>
  <c r="JU110" i="9"/>
  <c r="JU111" i="9"/>
  <c r="JU112" i="9"/>
  <c r="JU113" i="9"/>
  <c r="JU114" i="9"/>
  <c r="JU115" i="9"/>
  <c r="JU116" i="9"/>
  <c r="JU117" i="9"/>
  <c r="JU106" i="9"/>
  <c r="JT107" i="9"/>
  <c r="JT108" i="9"/>
  <c r="JT109" i="9"/>
  <c r="JT110" i="9"/>
  <c r="JT111" i="9"/>
  <c r="JT112" i="9"/>
  <c r="JT113" i="9"/>
  <c r="JT114" i="9"/>
  <c r="JT115" i="9"/>
  <c r="JT116" i="9"/>
  <c r="JT117" i="9"/>
  <c r="JT106" i="9"/>
  <c r="JS107" i="9"/>
  <c r="JS108" i="9"/>
  <c r="JS109" i="9"/>
  <c r="JS110" i="9"/>
  <c r="JS111" i="9"/>
  <c r="JS112" i="9"/>
  <c r="JS113" i="9"/>
  <c r="JS114" i="9"/>
  <c r="JS115" i="9"/>
  <c r="JS116" i="9"/>
  <c r="JS117" i="9"/>
  <c r="JS106" i="9"/>
  <c r="JR107" i="9"/>
  <c r="JR108" i="9"/>
  <c r="JR109" i="9"/>
  <c r="JR110" i="9"/>
  <c r="JR111" i="9"/>
  <c r="JR112" i="9"/>
  <c r="JR113" i="9"/>
  <c r="JR114" i="9"/>
  <c r="JR115" i="9"/>
  <c r="JR116" i="9"/>
  <c r="JR117" i="9"/>
  <c r="JR106" i="9"/>
  <c r="JQ107" i="9"/>
  <c r="JQ108" i="9"/>
  <c r="JQ109" i="9"/>
  <c r="JQ110" i="9"/>
  <c r="JQ111" i="9"/>
  <c r="JQ112" i="9"/>
  <c r="JQ113" i="9"/>
  <c r="JQ114" i="9"/>
  <c r="JQ115" i="9"/>
  <c r="JQ116" i="9"/>
  <c r="JQ117" i="9"/>
  <c r="JQ106" i="9"/>
  <c r="JP107" i="9"/>
  <c r="JP108" i="9"/>
  <c r="JP109" i="9"/>
  <c r="JP110" i="9"/>
  <c r="JP111" i="9"/>
  <c r="JP112" i="9"/>
  <c r="JP113" i="9"/>
  <c r="JP114" i="9"/>
  <c r="JP115" i="9"/>
  <c r="JP116" i="9"/>
  <c r="JP117" i="9"/>
  <c r="JP106" i="9"/>
  <c r="JO107" i="9"/>
  <c r="JO108" i="9"/>
  <c r="JO109" i="9"/>
  <c r="JO110" i="9"/>
  <c r="JO111" i="9"/>
  <c r="JO112" i="9"/>
  <c r="JO113" i="9"/>
  <c r="JO114" i="9"/>
  <c r="JO115" i="9"/>
  <c r="JO116" i="9"/>
  <c r="JO117" i="9"/>
  <c r="JN107" i="9"/>
  <c r="JN108" i="9"/>
  <c r="JN109" i="9"/>
  <c r="JN110" i="9"/>
  <c r="JN111" i="9"/>
  <c r="JN112" i="9"/>
  <c r="JN113" i="9"/>
  <c r="JN114" i="9"/>
  <c r="JN115" i="9"/>
  <c r="JN116" i="9"/>
  <c r="JN117" i="9"/>
  <c r="JN106" i="9"/>
  <c r="JO106" i="9"/>
  <c r="JM107" i="9"/>
  <c r="JM108" i="9"/>
  <c r="JM109" i="9"/>
  <c r="JM110" i="9"/>
  <c r="JM111" i="9"/>
  <c r="JM112" i="9"/>
  <c r="JM113" i="9"/>
  <c r="JM114" i="9"/>
  <c r="JM115" i="9"/>
  <c r="JM116" i="9"/>
  <c r="JM117" i="9"/>
  <c r="JM106" i="9"/>
  <c r="JL107" i="9"/>
  <c r="JL108" i="9"/>
  <c r="JL109" i="9"/>
  <c r="JL110" i="9"/>
  <c r="JL111" i="9"/>
  <c r="JL112" i="9"/>
  <c r="JL113" i="9"/>
  <c r="JL114" i="9"/>
  <c r="JL115" i="9"/>
  <c r="JL116" i="9"/>
  <c r="JL117" i="9"/>
  <c r="JL106" i="9"/>
  <c r="JK107" i="9"/>
  <c r="JK108" i="9"/>
  <c r="JK109" i="9"/>
  <c r="JK110" i="9"/>
  <c r="JK111" i="9"/>
  <c r="JK112" i="9"/>
  <c r="JK113" i="9"/>
  <c r="JK114" i="9"/>
  <c r="JK115" i="9"/>
  <c r="JK116" i="9"/>
  <c r="JK117" i="9"/>
  <c r="JK106" i="9"/>
  <c r="JJ107" i="9"/>
  <c r="JJ108" i="9"/>
  <c r="JJ109" i="9"/>
  <c r="JJ110" i="9"/>
  <c r="JJ111" i="9"/>
  <c r="JJ112" i="9"/>
  <c r="JJ113" i="9"/>
  <c r="JJ114" i="9"/>
  <c r="JJ115" i="9"/>
  <c r="JJ116" i="9"/>
  <c r="JJ117" i="9"/>
  <c r="JJ106" i="9"/>
  <c r="JI107" i="9"/>
  <c r="JI108" i="9"/>
  <c r="JI109" i="9"/>
  <c r="JI110" i="9"/>
  <c r="JI111" i="9"/>
  <c r="JI112" i="9"/>
  <c r="JI113" i="9"/>
  <c r="JI114" i="9"/>
  <c r="JI115" i="9"/>
  <c r="JI116" i="9"/>
  <c r="JI117" i="9"/>
  <c r="JI106" i="9"/>
  <c r="JH107" i="9"/>
  <c r="JH108" i="9"/>
  <c r="JH109" i="9"/>
  <c r="JH110" i="9"/>
  <c r="JH111" i="9"/>
  <c r="JH112" i="9"/>
  <c r="JH113" i="9"/>
  <c r="JH114" i="9"/>
  <c r="JH115" i="9"/>
  <c r="JH116" i="9"/>
  <c r="JH117" i="9"/>
  <c r="JH106" i="9"/>
  <c r="JG107" i="9"/>
  <c r="JG108" i="9"/>
  <c r="JG109" i="9"/>
  <c r="JG110" i="9"/>
  <c r="JG111" i="9"/>
  <c r="JG112" i="9"/>
  <c r="JG113" i="9"/>
  <c r="JG114" i="9"/>
  <c r="JG115" i="9"/>
  <c r="JG116" i="9"/>
  <c r="JG117" i="9"/>
  <c r="JG106" i="9"/>
  <c r="JF107" i="9"/>
  <c r="JF108" i="9"/>
  <c r="JF109" i="9"/>
  <c r="JF110" i="9"/>
  <c r="JF111" i="9"/>
  <c r="JF112" i="9"/>
  <c r="JF113" i="9"/>
  <c r="JF114" i="9"/>
  <c r="JF115" i="9"/>
  <c r="JF116" i="9"/>
  <c r="JF117" i="9"/>
  <c r="JF106" i="9"/>
  <c r="JE107" i="9"/>
  <c r="JE108" i="9"/>
  <c r="JE109" i="9"/>
  <c r="JE110" i="9"/>
  <c r="JE111" i="9"/>
  <c r="JE112" i="9"/>
  <c r="JE113" i="9"/>
  <c r="JE114" i="9"/>
  <c r="JE115" i="9"/>
  <c r="JE116" i="9"/>
  <c r="JE117" i="9"/>
  <c r="JE106" i="9"/>
  <c r="JD107" i="9"/>
  <c r="JD108" i="9"/>
  <c r="JD109" i="9"/>
  <c r="JD110" i="9"/>
  <c r="JD111" i="9"/>
  <c r="JD112" i="9"/>
  <c r="JD113" i="9"/>
  <c r="JD114" i="9"/>
  <c r="JD115" i="9"/>
  <c r="JD116" i="9"/>
  <c r="JD117" i="9"/>
  <c r="JD106" i="9"/>
  <c r="JC107" i="9"/>
  <c r="JC108" i="9"/>
  <c r="JC109" i="9"/>
  <c r="JC110" i="9"/>
  <c r="JC111" i="9"/>
  <c r="JC112" i="9"/>
  <c r="JC113" i="9"/>
  <c r="JC114" i="9"/>
  <c r="JC115" i="9"/>
  <c r="JC116" i="9"/>
  <c r="JC117" i="9"/>
  <c r="JC106" i="9"/>
  <c r="JB107" i="9"/>
  <c r="JB108" i="9"/>
  <c r="JB109" i="9"/>
  <c r="JB110" i="9"/>
  <c r="JB111" i="9"/>
  <c r="JB112" i="9"/>
  <c r="JB113" i="9"/>
  <c r="JB114" i="9"/>
  <c r="JB115" i="9"/>
  <c r="JB116" i="9"/>
  <c r="JB117" i="9"/>
  <c r="JB106" i="9"/>
  <c r="I9" i="15"/>
  <c r="AG45" i="26"/>
  <c r="AG46" i="26" s="1"/>
  <c r="AF45" i="26"/>
  <c r="AF46" i="26" s="1"/>
  <c r="AE45" i="26"/>
  <c r="AE46" i="26" s="1"/>
  <c r="AD45" i="26"/>
  <c r="AD46" i="26" s="1"/>
  <c r="AC45" i="26"/>
  <c r="AC46" i="26" s="1"/>
  <c r="AB45" i="26"/>
  <c r="AB46" i="26" s="1"/>
  <c r="AA45" i="26"/>
  <c r="AA46" i="26" s="1"/>
  <c r="Z45" i="26"/>
  <c r="Z46" i="26" s="1"/>
  <c r="Y45" i="26"/>
  <c r="Y46" i="26" s="1"/>
  <c r="X45" i="26"/>
  <c r="X46" i="26" s="1"/>
  <c r="W45" i="26"/>
  <c r="W46" i="26" s="1"/>
  <c r="O45" i="26"/>
  <c r="O46" i="26" s="1"/>
  <c r="N45" i="26"/>
  <c r="N46" i="26" s="1"/>
  <c r="H45" i="26"/>
  <c r="H46" i="26" s="1"/>
  <c r="G45" i="26"/>
  <c r="G46" i="26" s="1"/>
  <c r="F45" i="26"/>
  <c r="F46" i="26" s="1"/>
  <c r="LJ106" i="9" s="1"/>
  <c r="E45" i="26"/>
  <c r="E46" i="26" s="1"/>
  <c r="LG107" i="9" s="1"/>
  <c r="D45" i="26"/>
  <c r="D46" i="26" s="1"/>
  <c r="LE108" i="9" s="1"/>
  <c r="C45" i="26"/>
  <c r="C46" i="26" s="1"/>
  <c r="LC106" i="9" s="1"/>
  <c r="AH44" i="26"/>
  <c r="B44" i="26"/>
  <c r="A44" i="26"/>
  <c r="AH43" i="26"/>
  <c r="B43" i="26"/>
  <c r="A43" i="26"/>
  <c r="AH42" i="26"/>
  <c r="B42" i="26"/>
  <c r="A42" i="26"/>
  <c r="AH41" i="26"/>
  <c r="B41" i="26"/>
  <c r="A41" i="26"/>
  <c r="AH40" i="26"/>
  <c r="B40" i="26"/>
  <c r="A40" i="26"/>
  <c r="AH39" i="26"/>
  <c r="B39" i="26"/>
  <c r="A39" i="26"/>
  <c r="AH38" i="26"/>
  <c r="B38" i="26"/>
  <c r="A38" i="26"/>
  <c r="AH37" i="26"/>
  <c r="B37" i="26"/>
  <c r="A37" i="26"/>
  <c r="AH36" i="26"/>
  <c r="B36" i="26"/>
  <c r="A36" i="26"/>
  <c r="AH35" i="26"/>
  <c r="B35" i="26"/>
  <c r="A35" i="26"/>
  <c r="AH34" i="26"/>
  <c r="B34" i="26"/>
  <c r="A34" i="26"/>
  <c r="AH33" i="26"/>
  <c r="B33" i="26"/>
  <c r="A33" i="26"/>
  <c r="AH32" i="26"/>
  <c r="B32" i="26"/>
  <c r="A32" i="26"/>
  <c r="AH31" i="26"/>
  <c r="B31" i="26"/>
  <c r="A31" i="26"/>
  <c r="AH30" i="26"/>
  <c r="B30" i="26"/>
  <c r="A30" i="26"/>
  <c r="AH29" i="26"/>
  <c r="B29" i="26"/>
  <c r="A29" i="26"/>
  <c r="AH28" i="26"/>
  <c r="B28" i="26"/>
  <c r="A28" i="26"/>
  <c r="AH27" i="26"/>
  <c r="B27" i="26"/>
  <c r="A27" i="26"/>
  <c r="AH26" i="26"/>
  <c r="B26" i="26"/>
  <c r="A26" i="26"/>
  <c r="AH25" i="26"/>
  <c r="B25" i="26"/>
  <c r="A25" i="26"/>
  <c r="AH24" i="26"/>
  <c r="B24" i="26"/>
  <c r="A24" i="26"/>
  <c r="AH23" i="26"/>
  <c r="B23" i="26"/>
  <c r="A23" i="26"/>
  <c r="AH22" i="26"/>
  <c r="B22" i="26"/>
  <c r="A22" i="26"/>
  <c r="AH21" i="26"/>
  <c r="B21" i="26"/>
  <c r="A21" i="26"/>
  <c r="AH20" i="26"/>
  <c r="B20" i="26"/>
  <c r="A20" i="26"/>
  <c r="AH19" i="26"/>
  <c r="B19" i="26"/>
  <c r="A19" i="26"/>
  <c r="AH18" i="26"/>
  <c r="B18" i="26"/>
  <c r="A18" i="26"/>
  <c r="AH17" i="26"/>
  <c r="B17" i="26"/>
  <c r="A17" i="26"/>
  <c r="AH16" i="26"/>
  <c r="B16" i="26"/>
  <c r="A16" i="26"/>
  <c r="AH15" i="26"/>
  <c r="B15" i="26"/>
  <c r="A15" i="26"/>
  <c r="AH14" i="26"/>
  <c r="B14" i="26"/>
  <c r="A14" i="26"/>
  <c r="AH13" i="26"/>
  <c r="B13" i="26"/>
  <c r="A13" i="26"/>
  <c r="AH12" i="26"/>
  <c r="B12" i="26"/>
  <c r="A12" i="26"/>
  <c r="AH11" i="26"/>
  <c r="B11" i="26"/>
  <c r="A11" i="26"/>
  <c r="AH10" i="26"/>
  <c r="B10" i="26"/>
  <c r="A10" i="26"/>
  <c r="AH9" i="26"/>
  <c r="B9" i="26"/>
  <c r="A9" i="26"/>
  <c r="AH8" i="26"/>
  <c r="B8" i="26"/>
  <c r="A8" i="26"/>
  <c r="AH7" i="26"/>
  <c r="B7" i="26"/>
  <c r="A7" i="26"/>
  <c r="AH6" i="26"/>
  <c r="B6" i="26"/>
  <c r="A6" i="26"/>
  <c r="AH5" i="26"/>
  <c r="B5" i="26"/>
  <c r="A5" i="26"/>
  <c r="AH4" i="26"/>
  <c r="IP107" i="9"/>
  <c r="IP108" i="9"/>
  <c r="IP109" i="9"/>
  <c r="IP110" i="9"/>
  <c r="IP111" i="9"/>
  <c r="IP112" i="9"/>
  <c r="IP113" i="9"/>
  <c r="IP114" i="9"/>
  <c r="IP115" i="9"/>
  <c r="IP116" i="9"/>
  <c r="IP117" i="9"/>
  <c r="IP106" i="9"/>
  <c r="IO107" i="9"/>
  <c r="IO108" i="9"/>
  <c r="IO109" i="9"/>
  <c r="IO110" i="9"/>
  <c r="IO111" i="9"/>
  <c r="IO112" i="9"/>
  <c r="IO113" i="9"/>
  <c r="IO114" i="9"/>
  <c r="IO115" i="9"/>
  <c r="IO116" i="9"/>
  <c r="IO117" i="9"/>
  <c r="IO106" i="9"/>
  <c r="IN107" i="9"/>
  <c r="IN108" i="9"/>
  <c r="IN109" i="9"/>
  <c r="IN110" i="9"/>
  <c r="IN111" i="9"/>
  <c r="IN112" i="9"/>
  <c r="IN113" i="9"/>
  <c r="IN114" i="9"/>
  <c r="IN115" i="9"/>
  <c r="IN116" i="9"/>
  <c r="IN117" i="9"/>
  <c r="IN106" i="9"/>
  <c r="IM107" i="9"/>
  <c r="IM108" i="9"/>
  <c r="IM109" i="9"/>
  <c r="IM110" i="9"/>
  <c r="IM111" i="9"/>
  <c r="IM112" i="9"/>
  <c r="IM113" i="9"/>
  <c r="IM114" i="9"/>
  <c r="IM115" i="9"/>
  <c r="IM116" i="9"/>
  <c r="IM117" i="9"/>
  <c r="IM106" i="9"/>
  <c r="IK107" i="9"/>
  <c r="IK108" i="9"/>
  <c r="IK109" i="9"/>
  <c r="IK110" i="9"/>
  <c r="IK111" i="9"/>
  <c r="IK112" i="9"/>
  <c r="IK113" i="9"/>
  <c r="IK114" i="9"/>
  <c r="IK115" i="9"/>
  <c r="IK116" i="9"/>
  <c r="IK117" i="9"/>
  <c r="IK106" i="9"/>
  <c r="IL107" i="9"/>
  <c r="IL108" i="9"/>
  <c r="IL109" i="9"/>
  <c r="IL110" i="9"/>
  <c r="IL111" i="9"/>
  <c r="IL112" i="9"/>
  <c r="IL113" i="9"/>
  <c r="IL114" i="9"/>
  <c r="IL115" i="9"/>
  <c r="IL116" i="9"/>
  <c r="IL117" i="9"/>
  <c r="IL106" i="9"/>
  <c r="DT107" i="9"/>
  <c r="DT108" i="9"/>
  <c r="DT109" i="9"/>
  <c r="DT110" i="9"/>
  <c r="DT111" i="9"/>
  <c r="DT112" i="9"/>
  <c r="DT113" i="9"/>
  <c r="DT114" i="9"/>
  <c r="DT115" i="9"/>
  <c r="DT116" i="9"/>
  <c r="DT117" i="9"/>
  <c r="DT106" i="9"/>
  <c r="DS107" i="9"/>
  <c r="DS108" i="9"/>
  <c r="DS109" i="9"/>
  <c r="DS110" i="9"/>
  <c r="DS111" i="9"/>
  <c r="DS112" i="9"/>
  <c r="DS113" i="9"/>
  <c r="DS114" i="9"/>
  <c r="DS115" i="9"/>
  <c r="DS116" i="9"/>
  <c r="DS117" i="9"/>
  <c r="DS106" i="9"/>
  <c r="DR107" i="9"/>
  <c r="DR108" i="9"/>
  <c r="DR109" i="9"/>
  <c r="DR110" i="9"/>
  <c r="DR111" i="9"/>
  <c r="DR112" i="9"/>
  <c r="DR113" i="9"/>
  <c r="DR114" i="9"/>
  <c r="DR115" i="9"/>
  <c r="DR116" i="9"/>
  <c r="DR117" i="9"/>
  <c r="DR106" i="9"/>
  <c r="DQ107" i="9"/>
  <c r="DQ108" i="9"/>
  <c r="DQ109" i="9"/>
  <c r="DQ110" i="9"/>
  <c r="DQ111" i="9"/>
  <c r="DQ112" i="9"/>
  <c r="DQ113" i="9"/>
  <c r="DQ114" i="9"/>
  <c r="DQ115" i="9"/>
  <c r="DQ116" i="9"/>
  <c r="DQ117" i="9"/>
  <c r="DQ106" i="9"/>
  <c r="DP107" i="9"/>
  <c r="DP108" i="9"/>
  <c r="DP109" i="9"/>
  <c r="DP110" i="9"/>
  <c r="DP111" i="9"/>
  <c r="DP112" i="9"/>
  <c r="DP113" i="9"/>
  <c r="DP114" i="9"/>
  <c r="DP115" i="9"/>
  <c r="DP116" i="9"/>
  <c r="DP117" i="9"/>
  <c r="DP106" i="9"/>
  <c r="DO107" i="9"/>
  <c r="DO108" i="9"/>
  <c r="DO109" i="9"/>
  <c r="DO110" i="9"/>
  <c r="DO111" i="9"/>
  <c r="DO112" i="9"/>
  <c r="DO113" i="9"/>
  <c r="DO114" i="9"/>
  <c r="DO115" i="9"/>
  <c r="DO116" i="9"/>
  <c r="DO117" i="9"/>
  <c r="DO106" i="9"/>
  <c r="DN107" i="9"/>
  <c r="DN108" i="9"/>
  <c r="DN109" i="9"/>
  <c r="DN110" i="9"/>
  <c r="DN111" i="9"/>
  <c r="DN112" i="9"/>
  <c r="DN113" i="9"/>
  <c r="DN114" i="9"/>
  <c r="DN115" i="9"/>
  <c r="DN116" i="9"/>
  <c r="DN117" i="9"/>
  <c r="DN106" i="9"/>
  <c r="DM107" i="9"/>
  <c r="DM108" i="9"/>
  <c r="DM109" i="9"/>
  <c r="DM110" i="9"/>
  <c r="DM111" i="9"/>
  <c r="DM112" i="9"/>
  <c r="DM113" i="9"/>
  <c r="DM114" i="9"/>
  <c r="DM115" i="9"/>
  <c r="DM116" i="9"/>
  <c r="DM117" i="9"/>
  <c r="DM106" i="9"/>
  <c r="DL107" i="9"/>
  <c r="DL108" i="9"/>
  <c r="DL109" i="9"/>
  <c r="DL110" i="9"/>
  <c r="DL111" i="9"/>
  <c r="DL112" i="9"/>
  <c r="DL113" i="9"/>
  <c r="DL114" i="9"/>
  <c r="DL115" i="9"/>
  <c r="DL116" i="9"/>
  <c r="DL117" i="9"/>
  <c r="DL106" i="9"/>
  <c r="CE107" i="9"/>
  <c r="CE108" i="9"/>
  <c r="CE109" i="9"/>
  <c r="CE110" i="9"/>
  <c r="CE111" i="9"/>
  <c r="CE112" i="9"/>
  <c r="CE113" i="9"/>
  <c r="CE114" i="9"/>
  <c r="CE115" i="9"/>
  <c r="CE116" i="9"/>
  <c r="CE117" i="9"/>
  <c r="CE106" i="9"/>
  <c r="CD107" i="9"/>
  <c r="CD108" i="9"/>
  <c r="CD109" i="9"/>
  <c r="CD110" i="9"/>
  <c r="CD111" i="9"/>
  <c r="CD112" i="9"/>
  <c r="CD113" i="9"/>
  <c r="CD114" i="9"/>
  <c r="CD115" i="9"/>
  <c r="CD116" i="9"/>
  <c r="CD117" i="9"/>
  <c r="CD106" i="9"/>
  <c r="CC107" i="9"/>
  <c r="CC108" i="9"/>
  <c r="CC109" i="9"/>
  <c r="CC110" i="9"/>
  <c r="CC111" i="9"/>
  <c r="CC112" i="9"/>
  <c r="CC113" i="9"/>
  <c r="CC114" i="9"/>
  <c r="CC115" i="9"/>
  <c r="CC116" i="9"/>
  <c r="CC117" i="9"/>
  <c r="CC106" i="9"/>
  <c r="CA107" i="9"/>
  <c r="CA108" i="9"/>
  <c r="CA110" i="9"/>
  <c r="CA111" i="9"/>
  <c r="CA112" i="9"/>
  <c r="CA113" i="9"/>
  <c r="CA114" i="9"/>
  <c r="CA115" i="9"/>
  <c r="CA116" i="9"/>
  <c r="CA117" i="9"/>
  <c r="CA106" i="9"/>
  <c r="BY107" i="9"/>
  <c r="BY108" i="9"/>
  <c r="BY109" i="9"/>
  <c r="BY110" i="9"/>
  <c r="BY111" i="9"/>
  <c r="BY112" i="9"/>
  <c r="BY113" i="9"/>
  <c r="BY114" i="9"/>
  <c r="BY115" i="9"/>
  <c r="BY116" i="9"/>
  <c r="BY117" i="9"/>
  <c r="BX107" i="9"/>
  <c r="BX108" i="9"/>
  <c r="BX110" i="9"/>
  <c r="BX111" i="9"/>
  <c r="BX112" i="9"/>
  <c r="BX113" i="9"/>
  <c r="BX114" i="9"/>
  <c r="BX115" i="9"/>
  <c r="BX116" i="9"/>
  <c r="BX117" i="9"/>
  <c r="BX106" i="9"/>
  <c r="W107" i="9"/>
  <c r="W108" i="9"/>
  <c r="W109" i="9"/>
  <c r="W110" i="9"/>
  <c r="W111" i="9"/>
  <c r="W112" i="9"/>
  <c r="W113" i="9"/>
  <c r="W114" i="9"/>
  <c r="W115" i="9"/>
  <c r="W116" i="9"/>
  <c r="W117" i="9"/>
  <c r="W106" i="9"/>
  <c r="V107" i="9"/>
  <c r="V108" i="9"/>
  <c r="V109" i="9"/>
  <c r="V110" i="9"/>
  <c r="V111" i="9"/>
  <c r="V112" i="9"/>
  <c r="V113" i="9"/>
  <c r="V114" i="9"/>
  <c r="V115" i="9"/>
  <c r="V116" i="9"/>
  <c r="V117" i="9"/>
  <c r="V106" i="9"/>
  <c r="U107" i="9"/>
  <c r="U108" i="9"/>
  <c r="U109" i="9"/>
  <c r="U110" i="9"/>
  <c r="U111" i="9"/>
  <c r="U112" i="9"/>
  <c r="U113" i="9"/>
  <c r="U114" i="9"/>
  <c r="U115" i="9"/>
  <c r="U116" i="9"/>
  <c r="U117" i="9"/>
  <c r="U106" i="9"/>
  <c r="T107" i="9"/>
  <c r="T108" i="9"/>
  <c r="T109" i="9"/>
  <c r="T110" i="9"/>
  <c r="T111" i="9"/>
  <c r="T112" i="9"/>
  <c r="T113" i="9"/>
  <c r="T114" i="9"/>
  <c r="T115" i="9"/>
  <c r="T116" i="9"/>
  <c r="T117" i="9"/>
  <c r="T106" i="9"/>
  <c r="S107" i="9"/>
  <c r="S108" i="9"/>
  <c r="S109" i="9"/>
  <c r="S110" i="9"/>
  <c r="S111" i="9"/>
  <c r="S112" i="9"/>
  <c r="S113" i="9"/>
  <c r="S114" i="9"/>
  <c r="S115" i="9"/>
  <c r="S116" i="9"/>
  <c r="S117" i="9"/>
  <c r="S106" i="9"/>
  <c r="R107" i="9"/>
  <c r="R108" i="9"/>
  <c r="R109" i="9"/>
  <c r="R110" i="9"/>
  <c r="R111" i="9"/>
  <c r="R112" i="9"/>
  <c r="R113" i="9"/>
  <c r="R114" i="9"/>
  <c r="R115" i="9"/>
  <c r="R116" i="9"/>
  <c r="R117" i="9"/>
  <c r="R106" i="9"/>
  <c r="Q107" i="9"/>
  <c r="Q108" i="9"/>
  <c r="Q109" i="9"/>
  <c r="Q110" i="9"/>
  <c r="Q111" i="9"/>
  <c r="Q112" i="9"/>
  <c r="Q113" i="9"/>
  <c r="Q114" i="9"/>
  <c r="Q115" i="9"/>
  <c r="Q116" i="9"/>
  <c r="Q117" i="9"/>
  <c r="Q106" i="9"/>
  <c r="P107" i="9"/>
  <c r="P108" i="9"/>
  <c r="P109" i="9"/>
  <c r="P110" i="9"/>
  <c r="P111" i="9"/>
  <c r="P112" i="9"/>
  <c r="P113" i="9"/>
  <c r="P114" i="9"/>
  <c r="P115" i="9"/>
  <c r="P116" i="9"/>
  <c r="P117" i="9"/>
  <c r="P106" i="9"/>
  <c r="O107" i="9"/>
  <c r="O108" i="9"/>
  <c r="O109" i="9"/>
  <c r="O110" i="9"/>
  <c r="O111" i="9"/>
  <c r="O112" i="9"/>
  <c r="O113" i="9"/>
  <c r="O114" i="9"/>
  <c r="O115" i="9"/>
  <c r="O116" i="9"/>
  <c r="O117" i="9"/>
  <c r="O106" i="9"/>
  <c r="N107" i="9"/>
  <c r="N108" i="9"/>
  <c r="N109" i="9"/>
  <c r="N110" i="9"/>
  <c r="N111" i="9"/>
  <c r="N112" i="9"/>
  <c r="N113" i="9"/>
  <c r="N114" i="9"/>
  <c r="N115" i="9"/>
  <c r="N116" i="9"/>
  <c r="N117" i="9"/>
  <c r="N106" i="9"/>
  <c r="M107" i="9"/>
  <c r="M108" i="9"/>
  <c r="M109" i="9"/>
  <c r="M110" i="9"/>
  <c r="M112" i="9"/>
  <c r="M113" i="9"/>
  <c r="M114" i="9"/>
  <c r="M115" i="9"/>
  <c r="M116" i="9"/>
  <c r="M117" i="9"/>
  <c r="M106" i="9"/>
  <c r="L107" i="9"/>
  <c r="L108" i="9"/>
  <c r="L109" i="9"/>
  <c r="L111" i="9"/>
  <c r="L112" i="9"/>
  <c r="L113" i="9"/>
  <c r="L114" i="9"/>
  <c r="L115" i="9"/>
  <c r="L116" i="9"/>
  <c r="L117" i="9"/>
  <c r="L106" i="9"/>
  <c r="K107" i="9"/>
  <c r="K108" i="9"/>
  <c r="K110" i="9"/>
  <c r="K111" i="9"/>
  <c r="K112" i="9"/>
  <c r="K113" i="9"/>
  <c r="K114" i="9"/>
  <c r="K115" i="9"/>
  <c r="K116" i="9"/>
  <c r="K117" i="9"/>
  <c r="K106" i="9"/>
  <c r="I108" i="9"/>
  <c r="I109" i="9"/>
  <c r="I110" i="9"/>
  <c r="I111" i="9"/>
  <c r="I112" i="9"/>
  <c r="I113" i="9"/>
  <c r="I114" i="9"/>
  <c r="I115" i="9"/>
  <c r="I116" i="9"/>
  <c r="I117" i="9"/>
  <c r="I106" i="9"/>
  <c r="J107" i="9"/>
  <c r="J109" i="9"/>
  <c r="J110" i="9"/>
  <c r="J111" i="9"/>
  <c r="J112" i="9"/>
  <c r="J113" i="9"/>
  <c r="J114" i="9"/>
  <c r="J115" i="9"/>
  <c r="J116" i="9"/>
  <c r="J117" i="9"/>
  <c r="J106" i="9"/>
  <c r="H107" i="9"/>
  <c r="H108" i="9"/>
  <c r="H109" i="9"/>
  <c r="H110" i="9"/>
  <c r="H111" i="9"/>
  <c r="H112" i="9"/>
  <c r="H113" i="9"/>
  <c r="H114" i="9"/>
  <c r="H115" i="9"/>
  <c r="H116" i="9"/>
  <c r="H117" i="9"/>
  <c r="G107" i="9"/>
  <c r="G108" i="9"/>
  <c r="G110" i="9"/>
  <c r="G111" i="9"/>
  <c r="G112" i="9"/>
  <c r="G113" i="9"/>
  <c r="G114" i="9"/>
  <c r="G115" i="9"/>
  <c r="G116" i="9"/>
  <c r="G117" i="9"/>
  <c r="G106" i="9"/>
  <c r="F107" i="9"/>
  <c r="F109" i="9"/>
  <c r="F110" i="9"/>
  <c r="F111" i="9"/>
  <c r="F112" i="9"/>
  <c r="F113" i="9"/>
  <c r="F114" i="9"/>
  <c r="F115" i="9"/>
  <c r="F116" i="9"/>
  <c r="F117" i="9"/>
  <c r="F106" i="9"/>
  <c r="E108" i="9"/>
  <c r="E109" i="9"/>
  <c r="E110" i="9"/>
  <c r="E111" i="9"/>
  <c r="E112" i="9"/>
  <c r="E113" i="9"/>
  <c r="E114" i="9"/>
  <c r="E115" i="9"/>
  <c r="E116" i="9"/>
  <c r="E117" i="9"/>
  <c r="E106" i="9"/>
  <c r="D107" i="9"/>
  <c r="D108" i="9"/>
  <c r="D109" i="9"/>
  <c r="D110" i="9"/>
  <c r="D111" i="9"/>
  <c r="D112" i="9"/>
  <c r="D113" i="9"/>
  <c r="D114" i="9"/>
  <c r="D115" i="9"/>
  <c r="D116" i="9"/>
  <c r="D117" i="9"/>
  <c r="LF109" i="9" l="1"/>
  <c r="LI109" i="9"/>
  <c r="LH108" i="9"/>
  <c r="LD107" i="9"/>
  <c r="AI16" i="26"/>
  <c r="I21" i="15" s="1"/>
  <c r="AI24" i="26"/>
  <c r="I29" i="15" s="1"/>
  <c r="AI32" i="26"/>
  <c r="I37" i="15" s="1"/>
  <c r="AI40" i="26"/>
  <c r="I45" i="15" s="1"/>
  <c r="AI7" i="26"/>
  <c r="I12" i="15" s="1"/>
  <c r="AI11" i="26"/>
  <c r="I16" i="15" s="1"/>
  <c r="AI15" i="26"/>
  <c r="I20" i="15" s="1"/>
  <c r="AI19" i="26"/>
  <c r="I24" i="15" s="1"/>
  <c r="AI23" i="26"/>
  <c r="I28" i="15" s="1"/>
  <c r="AI27" i="26"/>
  <c r="I32" i="15" s="1"/>
  <c r="AI31" i="26"/>
  <c r="I36" i="15" s="1"/>
  <c r="AI35" i="26"/>
  <c r="I40" i="15" s="1"/>
  <c r="AI39" i="26"/>
  <c r="I44" i="15" s="1"/>
  <c r="AI43" i="26"/>
  <c r="I48" i="15" s="1"/>
  <c r="AI6" i="26"/>
  <c r="I11" i="15" s="1"/>
  <c r="AI10" i="26"/>
  <c r="I15" i="15" s="1"/>
  <c r="AI14" i="26"/>
  <c r="I19" i="15" s="1"/>
  <c r="AI18" i="26"/>
  <c r="I23" i="15" s="1"/>
  <c r="AI22" i="26"/>
  <c r="I27" i="15" s="1"/>
  <c r="AI26" i="26"/>
  <c r="I31" i="15" s="1"/>
  <c r="AI30" i="26"/>
  <c r="I35" i="15" s="1"/>
  <c r="AI34" i="26"/>
  <c r="I39" i="15" s="1"/>
  <c r="AI38" i="26"/>
  <c r="I43" i="15" s="1"/>
  <c r="AI42" i="26"/>
  <c r="I47" i="15" s="1"/>
  <c r="AI8" i="26"/>
  <c r="I13" i="15" s="1"/>
  <c r="AI12" i="26"/>
  <c r="I17" i="15" s="1"/>
  <c r="AI20" i="26"/>
  <c r="I25" i="15" s="1"/>
  <c r="AI28" i="26"/>
  <c r="I33" i="15" s="1"/>
  <c r="AI36" i="26"/>
  <c r="I41" i="15" s="1"/>
  <c r="AI44" i="26"/>
  <c r="I49" i="15" s="1"/>
  <c r="AI5" i="26"/>
  <c r="I10" i="15" s="1"/>
  <c r="AI9" i="26"/>
  <c r="I14" i="15" s="1"/>
  <c r="AI13" i="26"/>
  <c r="I18" i="15" s="1"/>
  <c r="AI17" i="26"/>
  <c r="I22" i="15" s="1"/>
  <c r="AI21" i="26"/>
  <c r="I26" i="15" s="1"/>
  <c r="AI25" i="26"/>
  <c r="I30" i="15" s="1"/>
  <c r="AI29" i="26"/>
  <c r="I34" i="15" s="1"/>
  <c r="AI33" i="26"/>
  <c r="I38" i="15" s="1"/>
  <c r="AI37" i="26"/>
  <c r="I42" i="15" s="1"/>
  <c r="AI41" i="26"/>
  <c r="I46" i="15" s="1"/>
  <c r="AH45" i="26"/>
  <c r="AH46" i="26" s="1"/>
  <c r="M45" i="4"/>
  <c r="M46" i="4" s="1"/>
  <c r="N45" i="4"/>
  <c r="N46" i="4" s="1"/>
  <c r="O45" i="4"/>
  <c r="O46" i="4" s="1"/>
  <c r="P45" i="4"/>
  <c r="P46" i="4" s="1"/>
  <c r="Q45" i="4"/>
  <c r="Q46" i="4" s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5" i="4"/>
  <c r="D46" i="6"/>
  <c r="D47" i="6" s="1"/>
  <c r="E46" i="6"/>
  <c r="E47" i="6" s="1"/>
  <c r="F46" i="6"/>
  <c r="F47" i="6" s="1"/>
  <c r="G46" i="6"/>
  <c r="G47" i="6" s="1"/>
  <c r="H46" i="6"/>
  <c r="H47" i="6" s="1"/>
  <c r="I46" i="6"/>
  <c r="I47" i="6" s="1"/>
  <c r="J46" i="6"/>
  <c r="J47" i="6" s="1"/>
  <c r="K46" i="6"/>
  <c r="K47" i="6" s="1"/>
  <c r="L46" i="6"/>
  <c r="L47" i="6" s="1"/>
  <c r="M46" i="6"/>
  <c r="M47" i="6" s="1"/>
  <c r="N46" i="6"/>
  <c r="N47" i="6" s="1"/>
  <c r="O46" i="6"/>
  <c r="O47" i="6" s="1"/>
  <c r="P46" i="6"/>
  <c r="P47" i="6" s="1"/>
  <c r="Q46" i="6"/>
  <c r="Q47" i="6" s="1"/>
  <c r="R46" i="6"/>
  <c r="R47" i="6" s="1"/>
  <c r="S46" i="6"/>
  <c r="S47" i="6" s="1"/>
  <c r="T46" i="6"/>
  <c r="T47" i="6" s="1"/>
  <c r="U46" i="6"/>
  <c r="U47" i="6" s="1"/>
  <c r="V46" i="6"/>
  <c r="V47" i="6" s="1"/>
  <c r="W46" i="6"/>
  <c r="W47" i="6" s="1"/>
  <c r="X46" i="6"/>
  <c r="X47" i="6" s="1"/>
  <c r="Y46" i="6"/>
  <c r="Y47" i="6" s="1"/>
  <c r="Z46" i="6"/>
  <c r="Z47" i="6" s="1"/>
  <c r="AA46" i="6"/>
  <c r="AA47" i="6" s="1"/>
  <c r="AB46" i="6"/>
  <c r="AB47" i="6" s="1"/>
  <c r="AC46" i="6"/>
  <c r="AC47" i="6" s="1"/>
  <c r="AD46" i="6"/>
  <c r="AD47" i="6" s="1"/>
  <c r="AE46" i="6"/>
  <c r="AE47" i="6" s="1"/>
  <c r="AF46" i="6"/>
  <c r="AF47" i="6" s="1"/>
  <c r="H45" i="17"/>
  <c r="H46" i="17" s="1"/>
  <c r="I45" i="17"/>
  <c r="I46" i="17" s="1"/>
  <c r="J45" i="17"/>
  <c r="J46" i="17" s="1"/>
  <c r="CB106" i="9" s="1"/>
  <c r="K45" i="17"/>
  <c r="K46" i="17" s="1"/>
  <c r="L45" i="17"/>
  <c r="L46" i="17" s="1"/>
  <c r="I50" i="15" l="1"/>
  <c r="BX109" i="9"/>
  <c r="BY106" i="9"/>
  <c r="CA109" i="9"/>
  <c r="BZ106" i="9"/>
  <c r="AI45" i="26"/>
  <c r="AI46" i="26" s="1"/>
  <c r="N45" i="7"/>
  <c r="N46" i="7" s="1"/>
  <c r="H45" i="7"/>
  <c r="H46" i="7" s="1"/>
  <c r="C38" i="15"/>
  <c r="C39" i="15"/>
  <c r="C40" i="15"/>
  <c r="C41" i="15"/>
  <c r="C42" i="15"/>
  <c r="C43" i="15"/>
  <c r="C44" i="15"/>
  <c r="C45" i="15"/>
  <c r="C46" i="15"/>
  <c r="C47" i="15"/>
  <c r="C48" i="15"/>
  <c r="C49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6" i="22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Q24" i="17"/>
  <c r="W24" i="3"/>
  <c r="AG6" i="6" l="1"/>
  <c r="AG46" i="6" s="1"/>
  <c r="F9" i="15" l="1"/>
  <c r="R4" i="4" l="1"/>
  <c r="S25" i="4" l="1"/>
  <c r="S29" i="4"/>
  <c r="S33" i="4"/>
  <c r="S37" i="4"/>
  <c r="S41" i="4"/>
  <c r="S26" i="4"/>
  <c r="S30" i="4"/>
  <c r="S34" i="4"/>
  <c r="S38" i="4"/>
  <c r="S42" i="4"/>
  <c r="S27" i="4"/>
  <c r="S31" i="4"/>
  <c r="S35" i="4"/>
  <c r="S39" i="4"/>
  <c r="S43" i="4"/>
  <c r="S28" i="4"/>
  <c r="S32" i="4"/>
  <c r="S36" i="4"/>
  <c r="S40" i="4"/>
  <c r="S44" i="4"/>
  <c r="S9" i="4"/>
  <c r="S13" i="4"/>
  <c r="S17" i="4"/>
  <c r="S21" i="4"/>
  <c r="S5" i="4"/>
  <c r="S6" i="4"/>
  <c r="S10" i="4"/>
  <c r="S14" i="4"/>
  <c r="S18" i="4"/>
  <c r="S22" i="4"/>
  <c r="S7" i="4"/>
  <c r="S11" i="4"/>
  <c r="S15" i="4"/>
  <c r="S19" i="4"/>
  <c r="S23" i="4"/>
  <c r="S8" i="4"/>
  <c r="S12" i="4"/>
  <c r="S16" i="4"/>
  <c r="S20" i="4"/>
  <c r="S24" i="4"/>
  <c r="AF46" i="22" l="1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C46" i="6"/>
  <c r="AI5" i="22"/>
  <c r="AJ7" i="22" l="1"/>
  <c r="AJ11" i="22"/>
  <c r="AJ15" i="22"/>
  <c r="AJ19" i="22"/>
  <c r="AJ23" i="22"/>
  <c r="AJ27" i="22"/>
  <c r="F31" i="15" s="1"/>
  <c r="AJ31" i="22"/>
  <c r="F35" i="15" s="1"/>
  <c r="AJ10" i="22"/>
  <c r="AJ18" i="22"/>
  <c r="AJ26" i="22"/>
  <c r="F30" i="15" s="1"/>
  <c r="AJ8" i="22"/>
  <c r="F12" i="15" s="1"/>
  <c r="AJ12" i="22"/>
  <c r="AJ16" i="22"/>
  <c r="AJ20" i="22"/>
  <c r="AJ24" i="22"/>
  <c r="AJ28" i="22"/>
  <c r="F32" i="15" s="1"/>
  <c r="AJ32" i="22"/>
  <c r="F36" i="15" s="1"/>
  <c r="AJ9" i="22"/>
  <c r="AJ13" i="22"/>
  <c r="AJ17" i="22"/>
  <c r="AJ21" i="22"/>
  <c r="AJ25" i="22"/>
  <c r="F29" i="15" s="1"/>
  <c r="AJ29" i="22"/>
  <c r="F33" i="15" s="1"/>
  <c r="AJ14" i="22"/>
  <c r="AJ22" i="22"/>
  <c r="AJ30" i="22"/>
  <c r="F34" i="15" s="1"/>
  <c r="AJ37" i="22"/>
  <c r="F41" i="15" s="1"/>
  <c r="AJ43" i="22"/>
  <c r="F47" i="15" s="1"/>
  <c r="AJ33" i="22"/>
  <c r="F37" i="15" s="1"/>
  <c r="AJ44" i="22"/>
  <c r="F48" i="15" s="1"/>
  <c r="AJ39" i="22"/>
  <c r="F43" i="15" s="1"/>
  <c r="AJ42" i="22"/>
  <c r="F46" i="15" s="1"/>
  <c r="AJ40" i="22"/>
  <c r="F44" i="15" s="1"/>
  <c r="AJ35" i="22"/>
  <c r="F39" i="15" s="1"/>
  <c r="AJ38" i="22"/>
  <c r="F42" i="15" s="1"/>
  <c r="AJ45" i="22"/>
  <c r="F49" i="15" s="1"/>
  <c r="AJ36" i="22"/>
  <c r="F40" i="15" s="1"/>
  <c r="AJ41" i="22"/>
  <c r="F45" i="15" s="1"/>
  <c r="AJ34" i="22"/>
  <c r="F38" i="15" s="1"/>
  <c r="AJ6" i="22"/>
  <c r="F10" i="15" s="1"/>
  <c r="F11" i="15"/>
  <c r="AI46" i="22"/>
  <c r="AI47" i="22" s="1"/>
  <c r="F13" i="15" l="1"/>
  <c r="F14" i="15" l="1"/>
  <c r="D9" i="15"/>
  <c r="E9" i="15"/>
  <c r="H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G9" i="15" l="1"/>
  <c r="J9" i="15" s="1"/>
  <c r="F15" i="15"/>
  <c r="F16" i="15" l="1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F17" i="15" l="1"/>
  <c r="E43" i="25"/>
  <c r="C43" i="25"/>
  <c r="D43" i="25"/>
  <c r="F43" i="25"/>
  <c r="G43" i="25"/>
  <c r="F18" i="15" l="1"/>
  <c r="F19" i="15" l="1"/>
  <c r="IJ107" i="9"/>
  <c r="IJ108" i="9"/>
  <c r="IJ109" i="9"/>
  <c r="IJ110" i="9"/>
  <c r="IJ111" i="9"/>
  <c r="IJ112" i="9"/>
  <c r="IJ113" i="9"/>
  <c r="IJ114" i="9"/>
  <c r="IJ115" i="9"/>
  <c r="IJ116" i="9"/>
  <c r="IJ117" i="9"/>
  <c r="IJ106" i="9"/>
  <c r="II108" i="9"/>
  <c r="II109" i="9"/>
  <c r="II110" i="9"/>
  <c r="II111" i="9"/>
  <c r="II112" i="9"/>
  <c r="II114" i="9"/>
  <c r="II115" i="9"/>
  <c r="II116" i="9"/>
  <c r="II117" i="9"/>
  <c r="II106" i="9"/>
  <c r="IH107" i="9"/>
  <c r="IH108" i="9"/>
  <c r="IH109" i="9"/>
  <c r="IH110" i="9"/>
  <c r="IH111" i="9"/>
  <c r="IH112" i="9"/>
  <c r="IH113" i="9"/>
  <c r="IH114" i="9"/>
  <c r="IH115" i="9"/>
  <c r="IH116" i="9"/>
  <c r="IH117" i="9"/>
  <c r="IH106" i="9"/>
  <c r="IG108" i="9"/>
  <c r="IG109" i="9"/>
  <c r="IG110" i="9"/>
  <c r="IG111" i="9"/>
  <c r="IG113" i="9"/>
  <c r="IG114" i="9"/>
  <c r="IG115" i="9"/>
  <c r="IG116" i="9"/>
  <c r="IG117" i="9"/>
  <c r="IG106" i="9"/>
  <c r="IF107" i="9"/>
  <c r="IF108" i="9"/>
  <c r="IF109" i="9"/>
  <c r="IF110" i="9"/>
  <c r="IF111" i="9"/>
  <c r="IF112" i="9"/>
  <c r="IF113" i="9"/>
  <c r="IF114" i="9"/>
  <c r="IF115" i="9"/>
  <c r="IF116" i="9"/>
  <c r="IF117" i="9"/>
  <c r="IF106" i="9"/>
  <c r="IE108" i="9"/>
  <c r="IE109" i="9"/>
  <c r="IE110" i="9"/>
  <c r="IE112" i="9"/>
  <c r="IE113" i="9"/>
  <c r="IE114" i="9"/>
  <c r="IE115" i="9"/>
  <c r="IE116" i="9"/>
  <c r="IE117" i="9"/>
  <c r="IE106" i="9"/>
  <c r="ID107" i="9"/>
  <c r="ID108" i="9"/>
  <c r="ID109" i="9"/>
  <c r="ID110" i="9"/>
  <c r="ID111" i="9"/>
  <c r="ID112" i="9"/>
  <c r="ID113" i="9"/>
  <c r="ID114" i="9"/>
  <c r="ID115" i="9"/>
  <c r="ID116" i="9"/>
  <c r="ID117" i="9"/>
  <c r="ID106" i="9"/>
  <c r="IC108" i="9"/>
  <c r="IC109" i="9"/>
  <c r="IC111" i="9"/>
  <c r="IC112" i="9"/>
  <c r="IC113" i="9"/>
  <c r="IC114" i="9"/>
  <c r="IC115" i="9"/>
  <c r="IC116" i="9"/>
  <c r="IC117" i="9"/>
  <c r="IC106" i="9"/>
  <c r="IB107" i="9"/>
  <c r="IB108" i="9"/>
  <c r="IB109" i="9"/>
  <c r="IB110" i="9"/>
  <c r="IB111" i="9"/>
  <c r="IB112" i="9"/>
  <c r="IB113" i="9"/>
  <c r="IB114" i="9"/>
  <c r="IB115" i="9"/>
  <c r="IB116" i="9"/>
  <c r="IB117" i="9"/>
  <c r="IB106" i="9"/>
  <c r="IA108" i="9"/>
  <c r="IA110" i="9"/>
  <c r="IA111" i="9"/>
  <c r="IA112" i="9"/>
  <c r="IA113" i="9"/>
  <c r="IA114" i="9"/>
  <c r="IA115" i="9"/>
  <c r="IA116" i="9"/>
  <c r="IA117" i="9"/>
  <c r="IA106" i="9"/>
  <c r="HZ107" i="9"/>
  <c r="HZ108" i="9"/>
  <c r="HZ109" i="9"/>
  <c r="HZ110" i="9"/>
  <c r="HZ111" i="9"/>
  <c r="HZ112" i="9"/>
  <c r="HZ114" i="9"/>
  <c r="HZ115" i="9"/>
  <c r="HZ116" i="9"/>
  <c r="HZ117" i="9"/>
  <c r="HZ106" i="9"/>
  <c r="HY109" i="9"/>
  <c r="HY110" i="9"/>
  <c r="HY111" i="9"/>
  <c r="HY112" i="9"/>
  <c r="HY113" i="9"/>
  <c r="HY114" i="9"/>
  <c r="HY115" i="9"/>
  <c r="HY116" i="9"/>
  <c r="HY117" i="9"/>
  <c r="HY106" i="9"/>
  <c r="HX107" i="9"/>
  <c r="HX108" i="9"/>
  <c r="HX109" i="9"/>
  <c r="HX110" i="9"/>
  <c r="HX111" i="9"/>
  <c r="HX112" i="9"/>
  <c r="HX113" i="9"/>
  <c r="HX114" i="9"/>
  <c r="HX115" i="9"/>
  <c r="HX116" i="9"/>
  <c r="HX117" i="9"/>
  <c r="HX106" i="9"/>
  <c r="HW109" i="9"/>
  <c r="HW110" i="9"/>
  <c r="HW111" i="9"/>
  <c r="HW112" i="9"/>
  <c r="HW113" i="9"/>
  <c r="HW114" i="9"/>
  <c r="HW115" i="9"/>
  <c r="HW116" i="9"/>
  <c r="HW117" i="9"/>
  <c r="HW106" i="9"/>
  <c r="HV107" i="9"/>
  <c r="HV108" i="9"/>
  <c r="HV110" i="9"/>
  <c r="HV111" i="9"/>
  <c r="HV112" i="9"/>
  <c r="HV113" i="9"/>
  <c r="HV114" i="9"/>
  <c r="HV115" i="9"/>
  <c r="HV116" i="9"/>
  <c r="HV117" i="9"/>
  <c r="HV106" i="9"/>
  <c r="HU109" i="9"/>
  <c r="HU110" i="9"/>
  <c r="HU111" i="9"/>
  <c r="HU112" i="9"/>
  <c r="HU113" i="9"/>
  <c r="HU114" i="9"/>
  <c r="HU115" i="9"/>
  <c r="HU116" i="9"/>
  <c r="HU117" i="9"/>
  <c r="HT107" i="9"/>
  <c r="HT108" i="9"/>
  <c r="HT109" i="9"/>
  <c r="HT110" i="9"/>
  <c r="HT111" i="9"/>
  <c r="HT112" i="9"/>
  <c r="HT113" i="9"/>
  <c r="HT114" i="9"/>
  <c r="HT115" i="9"/>
  <c r="HT116" i="9"/>
  <c r="HT117" i="9"/>
  <c r="HT106" i="9"/>
  <c r="HS109" i="9"/>
  <c r="HS110" i="9"/>
  <c r="HS111" i="9"/>
  <c r="HS112" i="9"/>
  <c r="HS113" i="9"/>
  <c r="HS114" i="9"/>
  <c r="HS115" i="9"/>
  <c r="HS116" i="9"/>
  <c r="HS117" i="9"/>
  <c r="HR107" i="9"/>
  <c r="HR108" i="9"/>
  <c r="HR109" i="9"/>
  <c r="HR110" i="9"/>
  <c r="HR111" i="9"/>
  <c r="HR112" i="9"/>
  <c r="HR113" i="9"/>
  <c r="HR114" i="9"/>
  <c r="HR115" i="9"/>
  <c r="HR116" i="9"/>
  <c r="HR117" i="9"/>
  <c r="HR106" i="9"/>
  <c r="HQ107" i="9"/>
  <c r="HQ108" i="9"/>
  <c r="HQ109" i="9"/>
  <c r="HQ110" i="9"/>
  <c r="HQ111" i="9"/>
  <c r="HQ112" i="9"/>
  <c r="HQ113" i="9"/>
  <c r="HQ114" i="9"/>
  <c r="HQ115" i="9"/>
  <c r="HQ116" i="9"/>
  <c r="HQ117" i="9"/>
  <c r="HP107" i="9"/>
  <c r="HP108" i="9"/>
  <c r="HP109" i="9"/>
  <c r="HP110" i="9"/>
  <c r="HP111" i="9"/>
  <c r="HP112" i="9"/>
  <c r="HP113" i="9"/>
  <c r="HP114" i="9"/>
  <c r="HP115" i="9"/>
  <c r="HP116" i="9"/>
  <c r="HP117" i="9"/>
  <c r="HP106" i="9"/>
  <c r="HO108" i="9"/>
  <c r="HO109" i="9"/>
  <c r="HO110" i="9"/>
  <c r="HO111" i="9"/>
  <c r="HO112" i="9"/>
  <c r="HO113" i="9"/>
  <c r="HO114" i="9"/>
  <c r="HO115" i="9"/>
  <c r="HO116" i="9"/>
  <c r="HO117" i="9"/>
  <c r="HN107" i="9"/>
  <c r="HN108" i="9"/>
  <c r="HN109" i="9"/>
  <c r="HN110" i="9"/>
  <c r="HN111" i="9"/>
  <c r="HN112" i="9"/>
  <c r="HN113" i="9"/>
  <c r="HN114" i="9"/>
  <c r="HN115" i="9"/>
  <c r="HN116" i="9"/>
  <c r="HN117" i="9"/>
  <c r="HN106" i="9"/>
  <c r="HM107" i="9"/>
  <c r="HM108" i="9"/>
  <c r="HM109" i="9"/>
  <c r="HM110" i="9"/>
  <c r="HM111" i="9"/>
  <c r="HM112" i="9"/>
  <c r="HM113" i="9"/>
  <c r="HM114" i="9"/>
  <c r="HM115" i="9"/>
  <c r="HM116" i="9"/>
  <c r="HM117" i="9"/>
  <c r="HL107" i="9"/>
  <c r="HL108" i="9"/>
  <c r="HL109" i="9"/>
  <c r="HL110" i="9"/>
  <c r="HL111" i="9"/>
  <c r="HL112" i="9"/>
  <c r="HL113" i="9"/>
  <c r="HL114" i="9"/>
  <c r="HL115" i="9"/>
  <c r="HL116" i="9"/>
  <c r="HL117" i="9"/>
  <c r="HL106" i="9"/>
  <c r="HK108" i="9"/>
  <c r="HK109" i="9"/>
  <c r="HK110" i="9"/>
  <c r="HK111" i="9"/>
  <c r="HK112" i="9"/>
  <c r="HK113" i="9"/>
  <c r="HK114" i="9"/>
  <c r="HK115" i="9"/>
  <c r="HK116" i="9"/>
  <c r="HK117" i="9"/>
  <c r="HJ107" i="9"/>
  <c r="HJ108" i="9"/>
  <c r="HJ109" i="9"/>
  <c r="HJ110" i="9"/>
  <c r="HJ111" i="9"/>
  <c r="HJ112" i="9"/>
  <c r="HJ113" i="9"/>
  <c r="HJ114" i="9"/>
  <c r="HJ115" i="9"/>
  <c r="HJ116" i="9"/>
  <c r="HJ117" i="9"/>
  <c r="HJ106" i="9"/>
  <c r="HI107" i="9"/>
  <c r="HI108" i="9"/>
  <c r="HI109" i="9"/>
  <c r="HI110" i="9"/>
  <c r="HI111" i="9"/>
  <c r="HI112" i="9"/>
  <c r="HI113" i="9"/>
  <c r="HI114" i="9"/>
  <c r="HI115" i="9"/>
  <c r="HI116" i="9"/>
  <c r="HH107" i="9"/>
  <c r="HH108" i="9"/>
  <c r="HH109" i="9"/>
  <c r="HH110" i="9"/>
  <c r="HH111" i="9"/>
  <c r="HH112" i="9"/>
  <c r="HH113" i="9"/>
  <c r="HH114" i="9"/>
  <c r="HH115" i="9"/>
  <c r="HH116" i="9"/>
  <c r="HH117" i="9"/>
  <c r="HH106" i="9"/>
  <c r="HG108" i="9"/>
  <c r="HG109" i="9"/>
  <c r="HG110" i="9"/>
  <c r="HG111" i="9"/>
  <c r="HG112" i="9"/>
  <c r="HG113" i="9"/>
  <c r="HG114" i="9"/>
  <c r="HG115" i="9"/>
  <c r="HG117" i="9"/>
  <c r="HF107" i="9"/>
  <c r="HF108" i="9"/>
  <c r="HF109" i="9"/>
  <c r="HF110" i="9"/>
  <c r="HF111" i="9"/>
  <c r="HF112" i="9"/>
  <c r="HF113" i="9"/>
  <c r="HF114" i="9"/>
  <c r="HF115" i="9"/>
  <c r="HF116" i="9"/>
  <c r="HF117" i="9"/>
  <c r="HF106" i="9"/>
  <c r="HE108" i="9"/>
  <c r="HE109" i="9"/>
  <c r="HE110" i="9"/>
  <c r="HE111" i="9"/>
  <c r="HE112" i="9"/>
  <c r="HE113" i="9"/>
  <c r="HE114" i="9"/>
  <c r="HE116" i="9"/>
  <c r="HE117" i="9"/>
  <c r="HD107" i="9"/>
  <c r="HD108" i="9"/>
  <c r="HD109" i="9"/>
  <c r="HD110" i="9"/>
  <c r="HD111" i="9"/>
  <c r="HD112" i="9"/>
  <c r="HD113" i="9"/>
  <c r="HD114" i="9"/>
  <c r="HD115" i="9"/>
  <c r="HD116" i="9"/>
  <c r="HD117" i="9"/>
  <c r="HD106" i="9"/>
  <c r="HC108" i="9"/>
  <c r="HC109" i="9"/>
  <c r="HC110" i="9"/>
  <c r="HC111" i="9"/>
  <c r="HC112" i="9"/>
  <c r="HC113" i="9"/>
  <c r="HC115" i="9"/>
  <c r="HC116" i="9"/>
  <c r="HC117" i="9"/>
  <c r="HB107" i="9"/>
  <c r="HB108" i="9"/>
  <c r="HB109" i="9"/>
  <c r="HB110" i="9"/>
  <c r="HB111" i="9"/>
  <c r="HB112" i="9"/>
  <c r="HB113" i="9"/>
  <c r="HB114" i="9"/>
  <c r="HB115" i="9"/>
  <c r="HB116" i="9"/>
  <c r="HB117" i="9"/>
  <c r="HB106" i="9"/>
  <c r="HA108" i="9"/>
  <c r="HA109" i="9"/>
  <c r="HA110" i="9"/>
  <c r="HA111" i="9"/>
  <c r="HA112" i="9"/>
  <c r="HA114" i="9"/>
  <c r="HA115" i="9"/>
  <c r="HA116" i="9"/>
  <c r="HA117" i="9"/>
  <c r="GZ107" i="9"/>
  <c r="GZ108" i="9"/>
  <c r="GZ109" i="9"/>
  <c r="GZ110" i="9"/>
  <c r="GZ111" i="9"/>
  <c r="GZ112" i="9"/>
  <c r="GZ113" i="9"/>
  <c r="GZ114" i="9"/>
  <c r="GZ115" i="9"/>
  <c r="GZ116" i="9"/>
  <c r="GZ117" i="9"/>
  <c r="GZ106" i="9"/>
  <c r="GY108" i="9"/>
  <c r="GY109" i="9"/>
  <c r="GY110" i="9"/>
  <c r="GY111" i="9"/>
  <c r="GY113" i="9"/>
  <c r="GY114" i="9"/>
  <c r="GY115" i="9"/>
  <c r="GY116" i="9"/>
  <c r="GY117" i="9"/>
  <c r="GX107" i="9"/>
  <c r="GX108" i="9"/>
  <c r="GX109" i="9"/>
  <c r="GX110" i="9"/>
  <c r="GX111" i="9"/>
  <c r="GX112" i="9"/>
  <c r="GX113" i="9"/>
  <c r="GX114" i="9"/>
  <c r="GX115" i="9"/>
  <c r="GX116" i="9"/>
  <c r="GX117" i="9"/>
  <c r="GX106" i="9"/>
  <c r="GW108" i="9"/>
  <c r="GW109" i="9"/>
  <c r="GW110" i="9"/>
  <c r="GW112" i="9"/>
  <c r="GW113" i="9"/>
  <c r="GW114" i="9"/>
  <c r="GW115" i="9"/>
  <c r="GW116" i="9"/>
  <c r="GW117" i="9"/>
  <c r="GV107" i="9"/>
  <c r="GV108" i="9"/>
  <c r="GV109" i="9"/>
  <c r="GV110" i="9"/>
  <c r="GV111" i="9"/>
  <c r="GV112" i="9"/>
  <c r="GV113" i="9"/>
  <c r="GV114" i="9"/>
  <c r="GV115" i="9"/>
  <c r="GV116" i="9"/>
  <c r="GV117" i="9"/>
  <c r="GV106" i="9"/>
  <c r="GU108" i="9"/>
  <c r="GU109" i="9"/>
  <c r="GU111" i="9"/>
  <c r="GU112" i="9"/>
  <c r="GU113" i="9"/>
  <c r="GU114" i="9"/>
  <c r="GU115" i="9"/>
  <c r="GU116" i="9"/>
  <c r="GU117" i="9"/>
  <c r="GT107" i="9"/>
  <c r="GT108" i="9"/>
  <c r="GT109" i="9"/>
  <c r="GT110" i="9"/>
  <c r="GT111" i="9"/>
  <c r="GT112" i="9"/>
  <c r="GT113" i="9"/>
  <c r="GT114" i="9"/>
  <c r="GT115" i="9"/>
  <c r="GT116" i="9"/>
  <c r="GT117" i="9"/>
  <c r="GT106" i="9"/>
  <c r="GS107" i="9"/>
  <c r="GS110" i="9"/>
  <c r="GS111" i="9"/>
  <c r="GS112" i="9"/>
  <c r="GS113" i="9"/>
  <c r="GS114" i="9"/>
  <c r="GS115" i="9"/>
  <c r="GS116" i="9"/>
  <c r="GS117" i="9"/>
  <c r="GR107" i="9"/>
  <c r="GR108" i="9"/>
  <c r="GR109" i="9"/>
  <c r="GR110" i="9"/>
  <c r="GR111" i="9"/>
  <c r="GR112" i="9"/>
  <c r="GR113" i="9"/>
  <c r="GR114" i="9"/>
  <c r="GR115" i="9"/>
  <c r="GR116" i="9"/>
  <c r="GR117" i="9"/>
  <c r="GR106" i="9"/>
  <c r="GQ109" i="9"/>
  <c r="GQ110" i="9"/>
  <c r="GQ111" i="9"/>
  <c r="GQ112" i="9"/>
  <c r="GQ113" i="9"/>
  <c r="GQ114" i="9"/>
  <c r="GQ115" i="9"/>
  <c r="GQ116" i="9"/>
  <c r="GQ117" i="9"/>
  <c r="GP107" i="9"/>
  <c r="GP108" i="9"/>
  <c r="GP109" i="9"/>
  <c r="GP110" i="9"/>
  <c r="GP111" i="9"/>
  <c r="GP112" i="9"/>
  <c r="GP113" i="9"/>
  <c r="GP114" i="9"/>
  <c r="GP115" i="9"/>
  <c r="GP116" i="9"/>
  <c r="GP117" i="9"/>
  <c r="GP106" i="9"/>
  <c r="GO108" i="9"/>
  <c r="GO109" i="9"/>
  <c r="GO110" i="9"/>
  <c r="GO111" i="9"/>
  <c r="GO112" i="9"/>
  <c r="GO113" i="9"/>
  <c r="GO114" i="9"/>
  <c r="GO115" i="9"/>
  <c r="GO116" i="9"/>
  <c r="GO117" i="9"/>
  <c r="GN107" i="9"/>
  <c r="GN108" i="9"/>
  <c r="GN109" i="9"/>
  <c r="GN110" i="9"/>
  <c r="GN111" i="9"/>
  <c r="GN112" i="9"/>
  <c r="GN113" i="9"/>
  <c r="GN114" i="9"/>
  <c r="GN115" i="9"/>
  <c r="GN116" i="9"/>
  <c r="GN117" i="9"/>
  <c r="GN106" i="9"/>
  <c r="GM108" i="9"/>
  <c r="GM109" i="9"/>
  <c r="GM111" i="9"/>
  <c r="GM112" i="9"/>
  <c r="GM113" i="9"/>
  <c r="GM114" i="9"/>
  <c r="GM115" i="9"/>
  <c r="GM116" i="9"/>
  <c r="GM117" i="9"/>
  <c r="GL107" i="9"/>
  <c r="GL108" i="9"/>
  <c r="GL109" i="9"/>
  <c r="GL110" i="9"/>
  <c r="GL111" i="9"/>
  <c r="GL112" i="9"/>
  <c r="GL113" i="9"/>
  <c r="GL114" i="9"/>
  <c r="GL115" i="9"/>
  <c r="GL116" i="9"/>
  <c r="GL117" i="9"/>
  <c r="GL106" i="9"/>
  <c r="GK108" i="9"/>
  <c r="GK109" i="9"/>
  <c r="GK111" i="9"/>
  <c r="GK112" i="9"/>
  <c r="GK113" i="9"/>
  <c r="GK114" i="9"/>
  <c r="GK115" i="9"/>
  <c r="GK116" i="9"/>
  <c r="GK117" i="9"/>
  <c r="GJ107" i="9"/>
  <c r="GJ108" i="9"/>
  <c r="GJ109" i="9"/>
  <c r="GJ110" i="9"/>
  <c r="GJ111" i="9"/>
  <c r="GJ112" i="9"/>
  <c r="GJ113" i="9"/>
  <c r="GJ114" i="9"/>
  <c r="GJ115" i="9"/>
  <c r="GJ116" i="9"/>
  <c r="GJ117" i="9"/>
  <c r="GJ106" i="9"/>
  <c r="GI108" i="9"/>
  <c r="GI109" i="9"/>
  <c r="GI111" i="9"/>
  <c r="GI112" i="9"/>
  <c r="GI113" i="9"/>
  <c r="GI114" i="9"/>
  <c r="GI115" i="9"/>
  <c r="GI116" i="9"/>
  <c r="GI117" i="9"/>
  <c r="GH107" i="9"/>
  <c r="GH108" i="9"/>
  <c r="GH109" i="9"/>
  <c r="GH110" i="9"/>
  <c r="GH111" i="9"/>
  <c r="GH112" i="9"/>
  <c r="GH113" i="9"/>
  <c r="GH114" i="9"/>
  <c r="GH115" i="9"/>
  <c r="GH116" i="9"/>
  <c r="GH117" i="9"/>
  <c r="GH106" i="9"/>
  <c r="GG108" i="9"/>
  <c r="GG109" i="9"/>
  <c r="GG111" i="9"/>
  <c r="GG112" i="9"/>
  <c r="GG113" i="9"/>
  <c r="GG114" i="9"/>
  <c r="GG115" i="9"/>
  <c r="GG116" i="9"/>
  <c r="GG117" i="9"/>
  <c r="GF107" i="9"/>
  <c r="GF108" i="9"/>
  <c r="GF109" i="9"/>
  <c r="GF110" i="9"/>
  <c r="GF111" i="9"/>
  <c r="GF112" i="9"/>
  <c r="GF113" i="9"/>
  <c r="GF114" i="9"/>
  <c r="GF115" i="9"/>
  <c r="GF116" i="9"/>
  <c r="GF117" i="9"/>
  <c r="GF106" i="9"/>
  <c r="GE108" i="9"/>
  <c r="GE109" i="9"/>
  <c r="GE110" i="9"/>
  <c r="GE111" i="9"/>
  <c r="GE112" i="9"/>
  <c r="GE113" i="9"/>
  <c r="GE114" i="9"/>
  <c r="GE115" i="9"/>
  <c r="GE116" i="9"/>
  <c r="GE117" i="9"/>
  <c r="Z106" i="9"/>
  <c r="F20" i="15" l="1"/>
  <c r="D11" i="12"/>
  <c r="D12" i="12"/>
  <c r="D13" i="12"/>
  <c r="D14" i="12"/>
  <c r="D15" i="12"/>
  <c r="D16" i="12"/>
  <c r="D17" i="12"/>
  <c r="D18" i="12"/>
  <c r="D19" i="12"/>
  <c r="D20" i="12"/>
  <c r="D21" i="12"/>
  <c r="C11" i="12"/>
  <c r="C12" i="12"/>
  <c r="C13" i="12"/>
  <c r="C14" i="12"/>
  <c r="C15" i="12"/>
  <c r="C16" i="12"/>
  <c r="C17" i="12"/>
  <c r="C18" i="12"/>
  <c r="C19" i="12"/>
  <c r="C20" i="12"/>
  <c r="C21" i="12"/>
  <c r="C10" i="12"/>
  <c r="D10" i="12"/>
  <c r="B11" i="12"/>
  <c r="B12" i="12"/>
  <c r="B13" i="12"/>
  <c r="B14" i="12"/>
  <c r="B15" i="12"/>
  <c r="B16" i="12"/>
  <c r="B17" i="12"/>
  <c r="B18" i="12"/>
  <c r="B19" i="12"/>
  <c r="B20" i="12"/>
  <c r="B21" i="12"/>
  <c r="B10" i="12"/>
  <c r="A11" i="12"/>
  <c r="A12" i="12"/>
  <c r="A13" i="12"/>
  <c r="A14" i="12"/>
  <c r="A15" i="12"/>
  <c r="A16" i="12"/>
  <c r="A17" i="12"/>
  <c r="A18" i="12"/>
  <c r="A19" i="12"/>
  <c r="A20" i="12"/>
  <c r="A21" i="12"/>
  <c r="A10" i="12"/>
  <c r="E11" i="12"/>
  <c r="E12" i="12"/>
  <c r="E13" i="12"/>
  <c r="E15" i="12"/>
  <c r="E16" i="12"/>
  <c r="E17" i="12"/>
  <c r="E18" i="12"/>
  <c r="E19" i="12"/>
  <c r="E20" i="12"/>
  <c r="D45" i="17"/>
  <c r="D46" i="17" s="1"/>
  <c r="BQ109" i="9" s="1"/>
  <c r="E45" i="17"/>
  <c r="E46" i="17" s="1"/>
  <c r="BS111" i="9" s="1"/>
  <c r="F45" i="17"/>
  <c r="F46" i="17" s="1"/>
  <c r="BU113" i="9" s="1"/>
  <c r="G45" i="17"/>
  <c r="G46" i="17" s="1"/>
  <c r="BW115" i="9" s="1"/>
  <c r="CG117" i="9"/>
  <c r="M45" i="17"/>
  <c r="M46" i="17" s="1"/>
  <c r="N45" i="17"/>
  <c r="N46" i="17" s="1"/>
  <c r="CK109" i="9" s="1"/>
  <c r="O45" i="17"/>
  <c r="O46" i="17" s="1"/>
  <c r="CM111" i="9" s="1"/>
  <c r="P45" i="17"/>
  <c r="P46" i="17" s="1"/>
  <c r="CN112" i="9" s="1"/>
  <c r="C45" i="17"/>
  <c r="B42" i="25"/>
  <c r="A42" i="25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L45" i="24"/>
  <c r="L46" i="24" s="1"/>
  <c r="K45" i="24"/>
  <c r="K46" i="24" s="1"/>
  <c r="J45" i="24"/>
  <c r="J46" i="24" s="1"/>
  <c r="I45" i="24"/>
  <c r="I46" i="24" s="1"/>
  <c r="H45" i="24"/>
  <c r="H46" i="24" s="1"/>
  <c r="G45" i="24"/>
  <c r="G46" i="24" s="1"/>
  <c r="F45" i="24"/>
  <c r="F46" i="24" s="1"/>
  <c r="E45" i="24"/>
  <c r="E46" i="24" s="1"/>
  <c r="D45" i="24"/>
  <c r="D46" i="24" s="1"/>
  <c r="C45" i="24"/>
  <c r="C46" i="24" s="1"/>
  <c r="M44" i="24"/>
  <c r="B44" i="24"/>
  <c r="A44" i="24"/>
  <c r="M43" i="24"/>
  <c r="B43" i="24"/>
  <c r="A43" i="24"/>
  <c r="M42" i="24"/>
  <c r="B42" i="24"/>
  <c r="A42" i="24"/>
  <c r="M41" i="24"/>
  <c r="B41" i="24"/>
  <c r="A41" i="24"/>
  <c r="M40" i="24"/>
  <c r="B40" i="24"/>
  <c r="A40" i="24"/>
  <c r="M39" i="24"/>
  <c r="B39" i="24"/>
  <c r="A39" i="24"/>
  <c r="M38" i="24"/>
  <c r="B38" i="24"/>
  <c r="A38" i="24"/>
  <c r="M37" i="24"/>
  <c r="B37" i="24"/>
  <c r="A37" i="24"/>
  <c r="M36" i="24"/>
  <c r="B36" i="24"/>
  <c r="A36" i="24"/>
  <c r="M35" i="24"/>
  <c r="B35" i="24"/>
  <c r="A35" i="24"/>
  <c r="M34" i="24"/>
  <c r="B34" i="24"/>
  <c r="A34" i="24"/>
  <c r="M33" i="24"/>
  <c r="B33" i="24"/>
  <c r="A33" i="24"/>
  <c r="M32" i="24"/>
  <c r="B32" i="24"/>
  <c r="A32" i="24"/>
  <c r="M31" i="24"/>
  <c r="B31" i="24"/>
  <c r="A31" i="24"/>
  <c r="M30" i="24"/>
  <c r="B30" i="24"/>
  <c r="A30" i="24"/>
  <c r="M29" i="24"/>
  <c r="B29" i="24"/>
  <c r="A29" i="24"/>
  <c r="M28" i="24"/>
  <c r="B28" i="24"/>
  <c r="A28" i="24"/>
  <c r="M27" i="24"/>
  <c r="B27" i="24"/>
  <c r="A27" i="24"/>
  <c r="M26" i="24"/>
  <c r="B26" i="24"/>
  <c r="A26" i="24"/>
  <c r="M25" i="24"/>
  <c r="B25" i="24"/>
  <c r="A25" i="24"/>
  <c r="M24" i="24"/>
  <c r="B24" i="24"/>
  <c r="A24" i="24"/>
  <c r="M23" i="24"/>
  <c r="B23" i="24"/>
  <c r="A23" i="24"/>
  <c r="M22" i="24"/>
  <c r="B22" i="24"/>
  <c r="A22" i="24"/>
  <c r="M21" i="24"/>
  <c r="B21" i="24"/>
  <c r="A21" i="24"/>
  <c r="M20" i="24"/>
  <c r="B20" i="24"/>
  <c r="A20" i="24"/>
  <c r="M19" i="24"/>
  <c r="B19" i="24"/>
  <c r="A19" i="24"/>
  <c r="M18" i="24"/>
  <c r="B18" i="24"/>
  <c r="A18" i="24"/>
  <c r="M17" i="24"/>
  <c r="B17" i="24"/>
  <c r="A17" i="24"/>
  <c r="M16" i="24"/>
  <c r="B16" i="24"/>
  <c r="A16" i="24"/>
  <c r="M15" i="24"/>
  <c r="B15" i="24"/>
  <c r="A15" i="24"/>
  <c r="M14" i="24"/>
  <c r="B14" i="24"/>
  <c r="A14" i="24"/>
  <c r="M13" i="24"/>
  <c r="B13" i="24"/>
  <c r="A13" i="24"/>
  <c r="M12" i="24"/>
  <c r="B12" i="24"/>
  <c r="A12" i="24"/>
  <c r="M11" i="24"/>
  <c r="B11" i="24"/>
  <c r="A11" i="24"/>
  <c r="M10" i="24"/>
  <c r="B10" i="24"/>
  <c r="A10" i="24"/>
  <c r="M9" i="24"/>
  <c r="B9" i="24"/>
  <c r="A9" i="24"/>
  <c r="M8" i="24"/>
  <c r="B8" i="24"/>
  <c r="A8" i="24"/>
  <c r="M7" i="24"/>
  <c r="B7" i="24"/>
  <c r="A7" i="24"/>
  <c r="M6" i="24"/>
  <c r="B6" i="24"/>
  <c r="A6" i="24"/>
  <c r="M5" i="24"/>
  <c r="B5" i="24"/>
  <c r="A5" i="24"/>
  <c r="M4" i="24"/>
  <c r="N44" i="24" s="1"/>
  <c r="AF47" i="22"/>
  <c r="AE47" i="22"/>
  <c r="AD47" i="22"/>
  <c r="AC47" i="22"/>
  <c r="AB47" i="22"/>
  <c r="AA47" i="22"/>
  <c r="Z47" i="22"/>
  <c r="HY107" i="9" s="1"/>
  <c r="Y47" i="22"/>
  <c r="X47" i="22"/>
  <c r="W47" i="22"/>
  <c r="HS107" i="9" s="1"/>
  <c r="V47" i="22"/>
  <c r="HQ106" i="9" s="1"/>
  <c r="U47" i="22"/>
  <c r="T47" i="22"/>
  <c r="HM106" i="9" s="1"/>
  <c r="S47" i="22"/>
  <c r="R47" i="22"/>
  <c r="Q47" i="22"/>
  <c r="HG106" i="9" s="1"/>
  <c r="P47" i="22"/>
  <c r="HE107" i="9" s="1"/>
  <c r="O47" i="22"/>
  <c r="HC106" i="9" s="1"/>
  <c r="N47" i="22"/>
  <c r="HA107" i="9" s="1"/>
  <c r="M47" i="22"/>
  <c r="GY106" i="9" s="1"/>
  <c r="L47" i="22"/>
  <c r="GW111" i="9" s="1"/>
  <c r="K47" i="22"/>
  <c r="GU110" i="9" s="1"/>
  <c r="J47" i="22"/>
  <c r="GS109" i="9" s="1"/>
  <c r="I47" i="22"/>
  <c r="GQ108" i="9" s="1"/>
  <c r="H47" i="22"/>
  <c r="G47" i="22"/>
  <c r="GM110" i="9" s="1"/>
  <c r="F47" i="22"/>
  <c r="GK110" i="9" s="1"/>
  <c r="E47" i="22"/>
  <c r="GI110" i="9" s="1"/>
  <c r="D47" i="22"/>
  <c r="GG110" i="9" s="1"/>
  <c r="C47" i="22"/>
  <c r="B45" i="22"/>
  <c r="A45" i="22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EQ107" i="9"/>
  <c r="ES109" i="9"/>
  <c r="EU111" i="9"/>
  <c r="EW113" i="9"/>
  <c r="EY115" i="9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D45" i="7"/>
  <c r="D46" i="7" s="1"/>
  <c r="E45" i="7"/>
  <c r="E46" i="7" s="1"/>
  <c r="F45" i="7"/>
  <c r="F46" i="7" s="1"/>
  <c r="G45" i="7"/>
  <c r="G46" i="7" s="1"/>
  <c r="O45" i="7"/>
  <c r="O46" i="7" s="1"/>
  <c r="W45" i="7"/>
  <c r="W46" i="7" s="1"/>
  <c r="X45" i="7"/>
  <c r="X46" i="7" s="1"/>
  <c r="Y45" i="7"/>
  <c r="Y46" i="7" s="1"/>
  <c r="Z45" i="7"/>
  <c r="Z46" i="7" s="1"/>
  <c r="AA45" i="7"/>
  <c r="AA46" i="7" s="1"/>
  <c r="AB45" i="7"/>
  <c r="AB46" i="7" s="1"/>
  <c r="AC45" i="7"/>
  <c r="AC46" i="7" s="1"/>
  <c r="AD45" i="7"/>
  <c r="AD46" i="7" s="1"/>
  <c r="AE45" i="7"/>
  <c r="AE46" i="7" s="1"/>
  <c r="AF45" i="7"/>
  <c r="AF46" i="7" s="1"/>
  <c r="AG45" i="7"/>
  <c r="AG46" i="7" s="1"/>
  <c r="C45" i="7"/>
  <c r="C46" i="7" s="1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W4" i="3"/>
  <c r="M4" i="19"/>
  <c r="D45" i="19"/>
  <c r="D46" i="19" s="1"/>
  <c r="E45" i="19"/>
  <c r="E46" i="19" s="1"/>
  <c r="F45" i="19"/>
  <c r="F46" i="19" s="1"/>
  <c r="G45" i="19"/>
  <c r="G46" i="19" s="1"/>
  <c r="H45" i="19"/>
  <c r="H46" i="19" s="1"/>
  <c r="I45" i="19"/>
  <c r="I46" i="19" s="1"/>
  <c r="J45" i="19"/>
  <c r="J46" i="19" s="1"/>
  <c r="K45" i="19"/>
  <c r="K46" i="19" s="1"/>
  <c r="L45" i="19"/>
  <c r="L46" i="19" s="1"/>
  <c r="C45" i="19"/>
  <c r="C46" i="19" s="1"/>
  <c r="C45" i="4"/>
  <c r="C46" i="4" s="1"/>
  <c r="C46" i="3"/>
  <c r="Y106" i="9" s="1"/>
  <c r="D45" i="4"/>
  <c r="E45" i="4"/>
  <c r="F45" i="4"/>
  <c r="G45" i="4"/>
  <c r="H45" i="4"/>
  <c r="I45" i="4"/>
  <c r="J45" i="4"/>
  <c r="K45" i="4"/>
  <c r="L45" i="4"/>
  <c r="L46" i="4" s="1"/>
  <c r="A24" i="17"/>
  <c r="B24" i="17"/>
  <c r="A25" i="17"/>
  <c r="B25" i="17"/>
  <c r="A26" i="17"/>
  <c r="B26" i="17"/>
  <c r="A27" i="17"/>
  <c r="B27" i="17"/>
  <c r="A28" i="17"/>
  <c r="B28" i="17"/>
  <c r="A29" i="17"/>
  <c r="B29" i="17"/>
  <c r="A30" i="17"/>
  <c r="B30" i="17"/>
  <c r="A31" i="17"/>
  <c r="B31" i="17"/>
  <c r="A32" i="17"/>
  <c r="B32" i="17"/>
  <c r="A33" i="17"/>
  <c r="B33" i="17"/>
  <c r="A34" i="17"/>
  <c r="B34" i="17"/>
  <c r="A35" i="17"/>
  <c r="B35" i="17"/>
  <c r="A36" i="17"/>
  <c r="B36" i="17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M44" i="19"/>
  <c r="B44" i="19"/>
  <c r="A44" i="19"/>
  <c r="M43" i="19"/>
  <c r="B43" i="19"/>
  <c r="A43" i="19"/>
  <c r="M42" i="19"/>
  <c r="B42" i="19"/>
  <c r="A42" i="19"/>
  <c r="M41" i="19"/>
  <c r="B41" i="19"/>
  <c r="A41" i="19"/>
  <c r="M40" i="19"/>
  <c r="B40" i="19"/>
  <c r="A40" i="19"/>
  <c r="M39" i="19"/>
  <c r="B39" i="19"/>
  <c r="A39" i="19"/>
  <c r="M38" i="19"/>
  <c r="B38" i="19"/>
  <c r="A38" i="19"/>
  <c r="M37" i="19"/>
  <c r="B37" i="19"/>
  <c r="A37" i="19"/>
  <c r="M36" i="19"/>
  <c r="B36" i="19"/>
  <c r="A36" i="19"/>
  <c r="M35" i="19"/>
  <c r="B35" i="19"/>
  <c r="A35" i="19"/>
  <c r="M34" i="19"/>
  <c r="B34" i="19"/>
  <c r="A34" i="19"/>
  <c r="M33" i="19"/>
  <c r="B33" i="19"/>
  <c r="A33" i="19"/>
  <c r="M32" i="19"/>
  <c r="B32" i="19"/>
  <c r="A32" i="19"/>
  <c r="M31" i="19"/>
  <c r="B31" i="19"/>
  <c r="A31" i="19"/>
  <c r="M30" i="19"/>
  <c r="B30" i="19"/>
  <c r="A30" i="19"/>
  <c r="M29" i="19"/>
  <c r="B29" i="19"/>
  <c r="A29" i="19"/>
  <c r="M28" i="19"/>
  <c r="B28" i="19"/>
  <c r="A28" i="19"/>
  <c r="M27" i="19"/>
  <c r="B27" i="19"/>
  <c r="A27" i="19"/>
  <c r="M26" i="19"/>
  <c r="B26" i="19"/>
  <c r="A26" i="19"/>
  <c r="M25" i="19"/>
  <c r="B25" i="19"/>
  <c r="A25" i="19"/>
  <c r="M24" i="19"/>
  <c r="B24" i="19"/>
  <c r="A24" i="19"/>
  <c r="M23" i="19"/>
  <c r="B23" i="19"/>
  <c r="A23" i="19"/>
  <c r="M22" i="19"/>
  <c r="B22" i="19"/>
  <c r="A22" i="19"/>
  <c r="M21" i="19"/>
  <c r="B21" i="19"/>
  <c r="A21" i="19"/>
  <c r="M20" i="19"/>
  <c r="B20" i="19"/>
  <c r="A20" i="19"/>
  <c r="M19" i="19"/>
  <c r="B19" i="19"/>
  <c r="A19" i="19"/>
  <c r="M18" i="19"/>
  <c r="B18" i="19"/>
  <c r="A18" i="19"/>
  <c r="M17" i="19"/>
  <c r="B17" i="19"/>
  <c r="A17" i="19"/>
  <c r="M16" i="19"/>
  <c r="B16" i="19"/>
  <c r="A16" i="19"/>
  <c r="M15" i="19"/>
  <c r="B15" i="19"/>
  <c r="A15" i="19"/>
  <c r="M14" i="19"/>
  <c r="B14" i="19"/>
  <c r="A14" i="19"/>
  <c r="M13" i="19"/>
  <c r="B13" i="19"/>
  <c r="A13" i="19"/>
  <c r="M12" i="19"/>
  <c r="B12" i="19"/>
  <c r="A12" i="19"/>
  <c r="M11" i="19"/>
  <c r="B11" i="19"/>
  <c r="A11" i="19"/>
  <c r="M10" i="19"/>
  <c r="B10" i="19"/>
  <c r="A10" i="19"/>
  <c r="M9" i="19"/>
  <c r="B9" i="19"/>
  <c r="A9" i="19"/>
  <c r="M8" i="19"/>
  <c r="B8" i="19"/>
  <c r="A8" i="19"/>
  <c r="M7" i="19"/>
  <c r="B7" i="19"/>
  <c r="A7" i="19"/>
  <c r="M6" i="19"/>
  <c r="B6" i="19"/>
  <c r="A6" i="19"/>
  <c r="M5" i="19"/>
  <c r="B5" i="19"/>
  <c r="A5" i="19"/>
  <c r="D46" i="3"/>
  <c r="AA106" i="9" s="1"/>
  <c r="E46" i="3"/>
  <c r="F46" i="3"/>
  <c r="G46" i="3"/>
  <c r="BK112" i="9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EY107" i="9"/>
  <c r="EY108" i="9"/>
  <c r="EY109" i="9"/>
  <c r="EY110" i="9"/>
  <c r="EY111" i="9"/>
  <c r="EY112" i="9"/>
  <c r="EY113" i="9"/>
  <c r="EY114" i="9"/>
  <c r="EY116" i="9"/>
  <c r="EY117" i="9"/>
  <c r="EY106" i="9"/>
  <c r="EX107" i="9"/>
  <c r="EX108" i="9"/>
  <c r="EX109" i="9"/>
  <c r="EX110" i="9"/>
  <c r="EX111" i="9"/>
  <c r="EX112" i="9"/>
  <c r="EX113" i="9"/>
  <c r="EX115" i="9"/>
  <c r="EX117" i="9"/>
  <c r="EW107" i="9"/>
  <c r="EW108" i="9"/>
  <c r="EW109" i="9"/>
  <c r="EW110" i="9"/>
  <c r="EW111" i="9"/>
  <c r="EW112" i="9"/>
  <c r="EW114" i="9"/>
  <c r="EW115" i="9"/>
  <c r="EW116" i="9"/>
  <c r="EW117" i="9"/>
  <c r="EW106" i="9"/>
  <c r="EV107" i="9"/>
  <c r="EV109" i="9"/>
  <c r="EV110" i="9"/>
  <c r="EV111" i="9"/>
  <c r="EV113" i="9"/>
  <c r="EV114" i="9"/>
  <c r="EV116" i="9"/>
  <c r="EV117" i="9"/>
  <c r="EU107" i="9"/>
  <c r="EU108" i="9"/>
  <c r="EU109" i="9"/>
  <c r="EU110" i="9"/>
  <c r="EU112" i="9"/>
  <c r="EU113" i="9"/>
  <c r="EU114" i="9"/>
  <c r="EU115" i="9"/>
  <c r="EU116" i="9"/>
  <c r="EU117" i="9"/>
  <c r="EU106" i="9"/>
  <c r="ET107" i="9"/>
  <c r="ET109" i="9"/>
  <c r="ET111" i="9"/>
  <c r="ET112" i="9"/>
  <c r="ET113" i="9"/>
  <c r="ET115" i="9"/>
  <c r="ET116" i="9"/>
  <c r="ET117" i="9"/>
  <c r="ES107" i="9"/>
  <c r="ES108" i="9"/>
  <c r="ES110" i="9"/>
  <c r="ES111" i="9"/>
  <c r="ES112" i="9"/>
  <c r="ES113" i="9"/>
  <c r="ES114" i="9"/>
  <c r="ES115" i="9"/>
  <c r="ES116" i="9"/>
  <c r="ES117" i="9"/>
  <c r="ES106" i="9"/>
  <c r="ER107" i="9"/>
  <c r="ER109" i="9"/>
  <c r="ER110" i="9"/>
  <c r="ER111" i="9"/>
  <c r="ER112" i="9"/>
  <c r="ER114" i="9"/>
  <c r="ER115" i="9"/>
  <c r="ER116" i="9"/>
  <c r="ER117" i="9"/>
  <c r="EQ108" i="9"/>
  <c r="EQ109" i="9"/>
  <c r="EQ110" i="9"/>
  <c r="EQ111" i="9"/>
  <c r="EQ112" i="9"/>
  <c r="EQ113" i="9"/>
  <c r="EQ114" i="9"/>
  <c r="EQ115" i="9"/>
  <c r="EQ116" i="9"/>
  <c r="EQ117" i="9"/>
  <c r="EQ106" i="9"/>
  <c r="EP107" i="9"/>
  <c r="EP108" i="9"/>
  <c r="EP109" i="9"/>
  <c r="EP110" i="9"/>
  <c r="EP111" i="9"/>
  <c r="EP113" i="9"/>
  <c r="EP114" i="9"/>
  <c r="EP115" i="9"/>
  <c r="EP116" i="9"/>
  <c r="EP117" i="9"/>
  <c r="DK107" i="9"/>
  <c r="DK108" i="9"/>
  <c r="DK109" i="9"/>
  <c r="DK110" i="9"/>
  <c r="DK112" i="9"/>
  <c r="DK113" i="9"/>
  <c r="DK114" i="9"/>
  <c r="DK115" i="9"/>
  <c r="DK116" i="9"/>
  <c r="DK117" i="9"/>
  <c r="BL107" i="9"/>
  <c r="BL108" i="9"/>
  <c r="BL109" i="9"/>
  <c r="BL110" i="9"/>
  <c r="BL111" i="9"/>
  <c r="BL112" i="9"/>
  <c r="BL114" i="9"/>
  <c r="BL115" i="9"/>
  <c r="BL116" i="9"/>
  <c r="BL117" i="9"/>
  <c r="BL106" i="9"/>
  <c r="BK107" i="9"/>
  <c r="BK108" i="9"/>
  <c r="BK109" i="9"/>
  <c r="BK110" i="9"/>
  <c r="BK111" i="9"/>
  <c r="BK113" i="9"/>
  <c r="BK114" i="9"/>
  <c r="BK115" i="9"/>
  <c r="BK116" i="9"/>
  <c r="BK117" i="9"/>
  <c r="BK106" i="9"/>
  <c r="BJ107" i="9"/>
  <c r="BJ108" i="9"/>
  <c r="BJ109" i="9"/>
  <c r="BJ110" i="9"/>
  <c r="BJ112" i="9"/>
  <c r="BJ113" i="9"/>
  <c r="BJ114" i="9"/>
  <c r="BJ115" i="9"/>
  <c r="BJ116" i="9"/>
  <c r="BJ117" i="9"/>
  <c r="BJ106" i="9"/>
  <c r="BI107" i="9"/>
  <c r="BI108" i="9"/>
  <c r="BI109" i="9"/>
  <c r="BI111" i="9"/>
  <c r="BI112" i="9"/>
  <c r="BI113" i="9"/>
  <c r="BI114" i="9"/>
  <c r="BI115" i="9"/>
  <c r="BI116" i="9"/>
  <c r="BI117" i="9"/>
  <c r="BI106" i="9"/>
  <c r="BH107" i="9"/>
  <c r="BH108" i="9"/>
  <c r="BH110" i="9"/>
  <c r="BH111" i="9"/>
  <c r="BH112" i="9"/>
  <c r="BH113" i="9"/>
  <c r="BH114" i="9"/>
  <c r="BH115" i="9"/>
  <c r="BH116" i="9"/>
  <c r="BH117" i="9"/>
  <c r="BH106" i="9"/>
  <c r="BG107" i="9"/>
  <c r="BG109" i="9"/>
  <c r="BG110" i="9"/>
  <c r="BG111" i="9"/>
  <c r="BG112" i="9"/>
  <c r="BG113" i="9"/>
  <c r="BG114" i="9"/>
  <c r="BG115" i="9"/>
  <c r="BG116" i="9"/>
  <c r="BG117" i="9"/>
  <c r="BG106" i="9"/>
  <c r="BF108" i="9"/>
  <c r="BF109" i="9"/>
  <c r="BF110" i="9"/>
  <c r="BF111" i="9"/>
  <c r="BF112" i="9"/>
  <c r="BF113" i="9"/>
  <c r="BF114" i="9"/>
  <c r="BF115" i="9"/>
  <c r="BF116" i="9"/>
  <c r="BF117" i="9"/>
  <c r="BF106" i="9"/>
  <c r="BE107" i="9"/>
  <c r="BE108" i="9"/>
  <c r="BE109" i="9"/>
  <c r="BE110" i="9"/>
  <c r="BE111" i="9"/>
  <c r="BE112" i="9"/>
  <c r="BE113" i="9"/>
  <c r="BE114" i="9"/>
  <c r="BE115" i="9"/>
  <c r="BE116" i="9"/>
  <c r="BE117" i="9"/>
  <c r="BD107" i="9"/>
  <c r="BD108" i="9"/>
  <c r="BD109" i="9"/>
  <c r="BD110" i="9"/>
  <c r="BD111" i="9"/>
  <c r="BD112" i="9"/>
  <c r="BD113" i="9"/>
  <c r="BD114" i="9"/>
  <c r="BD115" i="9"/>
  <c r="BD116" i="9"/>
  <c r="BD106" i="9"/>
  <c r="BC107" i="9"/>
  <c r="BC108" i="9"/>
  <c r="BC109" i="9"/>
  <c r="BC110" i="9"/>
  <c r="BC111" i="9"/>
  <c r="BC112" i="9"/>
  <c r="BC113" i="9"/>
  <c r="BC114" i="9"/>
  <c r="BC115" i="9"/>
  <c r="BC117" i="9"/>
  <c r="BC106" i="9"/>
  <c r="BB107" i="9"/>
  <c r="BB108" i="9"/>
  <c r="BB109" i="9"/>
  <c r="BB110" i="9"/>
  <c r="BB111" i="9"/>
  <c r="BB112" i="9"/>
  <c r="BB113" i="9"/>
  <c r="BB114" i="9"/>
  <c r="BB116" i="9"/>
  <c r="BB117" i="9"/>
  <c r="BB106" i="9"/>
  <c r="BA107" i="9"/>
  <c r="BA108" i="9"/>
  <c r="BA109" i="9"/>
  <c r="BA110" i="9"/>
  <c r="BA111" i="9"/>
  <c r="BA112" i="9"/>
  <c r="BA113" i="9"/>
  <c r="BA115" i="9"/>
  <c r="BA116" i="9"/>
  <c r="BA117" i="9"/>
  <c r="BA106" i="9"/>
  <c r="AZ107" i="9"/>
  <c r="AZ108" i="9"/>
  <c r="AZ109" i="9"/>
  <c r="AZ110" i="9"/>
  <c r="AZ111" i="9"/>
  <c r="AZ112" i="9"/>
  <c r="AZ114" i="9"/>
  <c r="AZ115" i="9"/>
  <c r="AZ116" i="9"/>
  <c r="AZ117" i="9"/>
  <c r="AZ106" i="9"/>
  <c r="AY107" i="9"/>
  <c r="AY108" i="9"/>
  <c r="AY109" i="9"/>
  <c r="AY110" i="9"/>
  <c r="AY111" i="9"/>
  <c r="AY113" i="9"/>
  <c r="AY114" i="9"/>
  <c r="AY115" i="9"/>
  <c r="AY116" i="9"/>
  <c r="AY117" i="9"/>
  <c r="AY106" i="9"/>
  <c r="AX107" i="9"/>
  <c r="AX108" i="9"/>
  <c r="AX109" i="9"/>
  <c r="AX110" i="9"/>
  <c r="AX112" i="9"/>
  <c r="AX113" i="9"/>
  <c r="AX114" i="9"/>
  <c r="AX115" i="9"/>
  <c r="AX116" i="9"/>
  <c r="AX117" i="9"/>
  <c r="AX106" i="9"/>
  <c r="AW107" i="9"/>
  <c r="AW108" i="9"/>
  <c r="AW109" i="9"/>
  <c r="AW111" i="9"/>
  <c r="AW112" i="9"/>
  <c r="AW113" i="9"/>
  <c r="AW114" i="9"/>
  <c r="AW115" i="9"/>
  <c r="AW116" i="9"/>
  <c r="AW117" i="9"/>
  <c r="AW106" i="9"/>
  <c r="AV107" i="9"/>
  <c r="AV108" i="9"/>
  <c r="AV110" i="9"/>
  <c r="AV111" i="9"/>
  <c r="AV112" i="9"/>
  <c r="AV113" i="9"/>
  <c r="AV114" i="9"/>
  <c r="AV115" i="9"/>
  <c r="AV116" i="9"/>
  <c r="AV117" i="9"/>
  <c r="AV106" i="9"/>
  <c r="AU107" i="9"/>
  <c r="AU109" i="9"/>
  <c r="AU110" i="9"/>
  <c r="AU111" i="9"/>
  <c r="AU112" i="9"/>
  <c r="AU113" i="9"/>
  <c r="AU114" i="9"/>
  <c r="AU115" i="9"/>
  <c r="AU116" i="9"/>
  <c r="AU117" i="9"/>
  <c r="AU106" i="9"/>
  <c r="AT108" i="9"/>
  <c r="AT109" i="9"/>
  <c r="AT110" i="9"/>
  <c r="AT111" i="9"/>
  <c r="AT112" i="9"/>
  <c r="AT113" i="9"/>
  <c r="AT114" i="9"/>
  <c r="AT115" i="9"/>
  <c r="AT116" i="9"/>
  <c r="AT117" i="9"/>
  <c r="AT106" i="9"/>
  <c r="AS107" i="9"/>
  <c r="AS108" i="9"/>
  <c r="AS109" i="9"/>
  <c r="AS110" i="9"/>
  <c r="AS111" i="9"/>
  <c r="AS112" i="9"/>
  <c r="AS113" i="9"/>
  <c r="AS114" i="9"/>
  <c r="AS115" i="9"/>
  <c r="AS116" i="9"/>
  <c r="AS117" i="9"/>
  <c r="AH5" i="7"/>
  <c r="AH4" i="7"/>
  <c r="AG5" i="6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5" i="3"/>
  <c r="BI110" i="9"/>
  <c r="BG108" i="9"/>
  <c r="BE106" i="9"/>
  <c r="BC116" i="9"/>
  <c r="BA114" i="9"/>
  <c r="AY112" i="9"/>
  <c r="AW110" i="9"/>
  <c r="AU108" i="9"/>
  <c r="AS106" i="9"/>
  <c r="CO107" i="9"/>
  <c r="CO108" i="9"/>
  <c r="CO109" i="9"/>
  <c r="CO110" i="9"/>
  <c r="CO111" i="9"/>
  <c r="CO112" i="9"/>
  <c r="CO114" i="9"/>
  <c r="CO115" i="9"/>
  <c r="CO116" i="9"/>
  <c r="CO117" i="9"/>
  <c r="CO106" i="9"/>
  <c r="CN107" i="9"/>
  <c r="CN108" i="9"/>
  <c r="CN109" i="9"/>
  <c r="CN110" i="9"/>
  <c r="CN111" i="9"/>
  <c r="CN113" i="9"/>
  <c r="CN114" i="9"/>
  <c r="CN115" i="9"/>
  <c r="CN116" i="9"/>
  <c r="CN117" i="9"/>
  <c r="CN106" i="9"/>
  <c r="CM107" i="9"/>
  <c r="CM108" i="9"/>
  <c r="CM109" i="9"/>
  <c r="CM110" i="9"/>
  <c r="CM112" i="9"/>
  <c r="CM113" i="9"/>
  <c r="CM114" i="9"/>
  <c r="CM115" i="9"/>
  <c r="CM116" i="9"/>
  <c r="CM117" i="9"/>
  <c r="CM106" i="9"/>
  <c r="CL107" i="9"/>
  <c r="CL108" i="9"/>
  <c r="CL109" i="9"/>
  <c r="CL111" i="9"/>
  <c r="CL112" i="9"/>
  <c r="CL113" i="9"/>
  <c r="CL114" i="9"/>
  <c r="CL115" i="9"/>
  <c r="CL116" i="9"/>
  <c r="CL117" i="9"/>
  <c r="CL106" i="9"/>
  <c r="CK107" i="9"/>
  <c r="CK110" i="9"/>
  <c r="CK111" i="9"/>
  <c r="CK112" i="9"/>
  <c r="CK113" i="9"/>
  <c r="CK114" i="9"/>
  <c r="CK115" i="9"/>
  <c r="CK116" i="9"/>
  <c r="CK117" i="9"/>
  <c r="CK106" i="9"/>
  <c r="CJ107" i="9"/>
  <c r="CJ109" i="9"/>
  <c r="CJ110" i="9"/>
  <c r="CJ111" i="9"/>
  <c r="CJ112" i="9"/>
  <c r="CJ113" i="9"/>
  <c r="CJ114" i="9"/>
  <c r="CJ115" i="9"/>
  <c r="CJ116" i="9"/>
  <c r="CJ117" i="9"/>
  <c r="CJ106" i="9"/>
  <c r="CI108" i="9"/>
  <c r="CI109" i="9"/>
  <c r="CI110" i="9"/>
  <c r="CI111" i="9"/>
  <c r="CI112" i="9"/>
  <c r="CI113" i="9"/>
  <c r="CI114" i="9"/>
  <c r="CI116" i="9"/>
  <c r="CI117" i="9"/>
  <c r="CI106" i="9"/>
  <c r="CH107" i="9"/>
  <c r="CH108" i="9"/>
  <c r="CH109" i="9"/>
  <c r="CH110" i="9"/>
  <c r="CH111" i="9"/>
  <c r="CH112" i="9"/>
  <c r="CH113" i="9"/>
  <c r="CH115" i="9"/>
  <c r="CH116" i="9"/>
  <c r="CH117" i="9"/>
  <c r="CG107" i="9"/>
  <c r="CG108" i="9"/>
  <c r="CG109" i="9"/>
  <c r="CG110" i="9"/>
  <c r="CG111" i="9"/>
  <c r="CG112" i="9"/>
  <c r="CG113" i="9"/>
  <c r="CG114" i="9"/>
  <c r="CG115" i="9"/>
  <c r="CG116" i="9"/>
  <c r="CG106" i="9"/>
  <c r="CF107" i="9"/>
  <c r="CF108" i="9"/>
  <c r="CF109" i="9"/>
  <c r="CF110" i="9"/>
  <c r="CF111" i="9"/>
  <c r="CF112" i="9"/>
  <c r="CF113" i="9"/>
  <c r="CF114" i="9"/>
  <c r="CF115" i="9"/>
  <c r="CF117" i="9"/>
  <c r="CF106" i="9"/>
  <c r="BW107" i="9"/>
  <c r="BW108" i="9"/>
  <c r="BW109" i="9"/>
  <c r="BW110" i="9"/>
  <c r="BW111" i="9"/>
  <c r="BW112" i="9"/>
  <c r="BW113" i="9"/>
  <c r="BW114" i="9"/>
  <c r="BW116" i="9"/>
  <c r="BW117" i="9"/>
  <c r="BW106" i="9"/>
  <c r="BV107" i="9"/>
  <c r="BV109" i="9"/>
  <c r="BV110" i="9"/>
  <c r="BV111" i="9"/>
  <c r="BV112" i="9"/>
  <c r="BV113" i="9"/>
  <c r="BV115" i="9"/>
  <c r="BV116" i="9"/>
  <c r="BV117" i="9"/>
  <c r="BU107" i="9"/>
  <c r="BU108" i="9"/>
  <c r="BU109" i="9"/>
  <c r="BU110" i="9"/>
  <c r="BU112" i="9"/>
  <c r="BU114" i="9"/>
  <c r="BU115" i="9"/>
  <c r="BU116" i="9"/>
  <c r="BU117" i="9"/>
  <c r="BU106" i="9"/>
  <c r="BT107" i="9"/>
  <c r="BT108" i="9"/>
  <c r="BT109" i="9"/>
  <c r="BT110" i="9"/>
  <c r="BT111" i="9"/>
  <c r="BT113" i="9"/>
  <c r="BT114" i="9"/>
  <c r="BT115" i="9"/>
  <c r="BT116" i="9"/>
  <c r="BT117" i="9"/>
  <c r="BS109" i="9"/>
  <c r="BS110" i="9"/>
  <c r="BS112" i="9"/>
  <c r="BS113" i="9"/>
  <c r="BS114" i="9"/>
  <c r="BS115" i="9"/>
  <c r="BS116" i="9"/>
  <c r="BS117" i="9"/>
  <c r="BS106" i="9"/>
  <c r="BR111" i="9"/>
  <c r="BR112" i="9"/>
  <c r="BR113" i="9"/>
  <c r="BR114" i="9"/>
  <c r="BR115" i="9"/>
  <c r="BR116" i="9"/>
  <c r="BR117" i="9"/>
  <c r="BR106" i="9"/>
  <c r="BQ108" i="9"/>
  <c r="BQ110" i="9"/>
  <c r="BQ111" i="9"/>
  <c r="BQ112" i="9"/>
  <c r="BQ113" i="9"/>
  <c r="BQ114" i="9"/>
  <c r="BQ115" i="9"/>
  <c r="BQ116" i="9"/>
  <c r="BQ117" i="9"/>
  <c r="BQ106" i="9"/>
  <c r="BP109" i="9"/>
  <c r="BP110" i="9"/>
  <c r="BP111" i="9"/>
  <c r="BP112" i="9"/>
  <c r="BP113" i="9"/>
  <c r="BP114" i="9"/>
  <c r="BP115" i="9"/>
  <c r="BP116" i="9"/>
  <c r="BP117" i="9"/>
  <c r="BP106" i="9"/>
  <c r="BO109" i="9"/>
  <c r="BO110" i="9"/>
  <c r="BO111" i="9"/>
  <c r="BO112" i="9"/>
  <c r="BO113" i="9"/>
  <c r="BO114" i="9"/>
  <c r="BO115" i="9"/>
  <c r="BO116" i="9"/>
  <c r="BO117" i="9"/>
  <c r="BO106" i="9"/>
  <c r="BN108" i="9"/>
  <c r="BN110" i="9"/>
  <c r="BN111" i="9"/>
  <c r="BN112" i="9"/>
  <c r="BN113" i="9"/>
  <c r="BN114" i="9"/>
  <c r="BN115" i="9"/>
  <c r="BN116" i="9"/>
  <c r="BN117" i="9"/>
  <c r="A6" i="17"/>
  <c r="B6" i="17"/>
  <c r="A7" i="17"/>
  <c r="B7" i="17"/>
  <c r="A8" i="17"/>
  <c r="B8" i="17"/>
  <c r="A9" i="17"/>
  <c r="B9" i="17"/>
  <c r="A10" i="17"/>
  <c r="B10" i="17"/>
  <c r="A11" i="17"/>
  <c r="B11" i="17"/>
  <c r="A12" i="17"/>
  <c r="B12" i="17"/>
  <c r="A13" i="17"/>
  <c r="B13" i="17"/>
  <c r="A14" i="17"/>
  <c r="B14" i="17"/>
  <c r="A15" i="17"/>
  <c r="B15" i="17"/>
  <c r="A16" i="17"/>
  <c r="B16" i="17"/>
  <c r="A17" i="17"/>
  <c r="B17" i="17"/>
  <c r="A18" i="17"/>
  <c r="B18" i="17"/>
  <c r="A19" i="17"/>
  <c r="B19" i="17"/>
  <c r="A20" i="17"/>
  <c r="B20" i="17"/>
  <c r="A21" i="17"/>
  <c r="B21" i="17"/>
  <c r="A22" i="17"/>
  <c r="B22" i="17"/>
  <c r="A23" i="17"/>
  <c r="B23" i="17"/>
  <c r="B5" i="17"/>
  <c r="A5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L110" i="9" l="1"/>
  <c r="M111" i="9"/>
  <c r="K109" i="9"/>
  <c r="J108" i="9"/>
  <c r="I107" i="9"/>
  <c r="H106" i="9"/>
  <c r="G109" i="9"/>
  <c r="F108" i="9"/>
  <c r="AI10" i="7"/>
  <c r="AI18" i="7"/>
  <c r="AI14" i="7"/>
  <c r="AI39" i="7"/>
  <c r="H44" i="15" s="1"/>
  <c r="AI44" i="7"/>
  <c r="H49" i="15" s="1"/>
  <c r="AI40" i="7"/>
  <c r="H45" i="15" s="1"/>
  <c r="AI36" i="7"/>
  <c r="H41" i="15" s="1"/>
  <c r="AI32" i="7"/>
  <c r="H37" i="15" s="1"/>
  <c r="AI28" i="7"/>
  <c r="H33" i="15" s="1"/>
  <c r="AI41" i="7"/>
  <c r="H46" i="15" s="1"/>
  <c r="AI33" i="7"/>
  <c r="H38" i="15" s="1"/>
  <c r="AI29" i="7"/>
  <c r="H34" i="15" s="1"/>
  <c r="AI25" i="7"/>
  <c r="H30" i="15" s="1"/>
  <c r="AI21" i="7"/>
  <c r="AI17" i="7"/>
  <c r="H22" i="15" s="1"/>
  <c r="AI13" i="7"/>
  <c r="H18" i="15" s="1"/>
  <c r="AI9" i="7"/>
  <c r="AI24" i="7"/>
  <c r="AI16" i="7"/>
  <c r="AI8" i="7"/>
  <c r="H13" i="15" s="1"/>
  <c r="AI22" i="7"/>
  <c r="AI43" i="7"/>
  <c r="H48" i="15" s="1"/>
  <c r="AI35" i="7"/>
  <c r="H40" i="15" s="1"/>
  <c r="AI42" i="7"/>
  <c r="H47" i="15" s="1"/>
  <c r="AI38" i="7"/>
  <c r="H43" i="15" s="1"/>
  <c r="AI34" i="7"/>
  <c r="H39" i="15" s="1"/>
  <c r="AI30" i="7"/>
  <c r="H35" i="15" s="1"/>
  <c r="AI26" i="7"/>
  <c r="H31" i="15" s="1"/>
  <c r="AI6" i="7"/>
  <c r="AI37" i="7"/>
  <c r="H42" i="15" s="1"/>
  <c r="AI31" i="7"/>
  <c r="H36" i="15" s="1"/>
  <c r="AI27" i="7"/>
  <c r="H32" i="15" s="1"/>
  <c r="AI23" i="7"/>
  <c r="AI19" i="7"/>
  <c r="AI15" i="7"/>
  <c r="H20" i="15" s="1"/>
  <c r="AI11" i="7"/>
  <c r="H16" i="15" s="1"/>
  <c r="AI7" i="7"/>
  <c r="AI20" i="7"/>
  <c r="AI12" i="7"/>
  <c r="X44" i="3"/>
  <c r="X38" i="3"/>
  <c r="X32" i="3"/>
  <c r="X26" i="3"/>
  <c r="X43" i="3"/>
  <c r="X39" i="3"/>
  <c r="X35" i="3"/>
  <c r="X31" i="3"/>
  <c r="X27" i="3"/>
  <c r="X40" i="3"/>
  <c r="X28" i="3"/>
  <c r="X42" i="3"/>
  <c r="X34" i="3"/>
  <c r="X30" i="3"/>
  <c r="X41" i="3"/>
  <c r="X37" i="3"/>
  <c r="X33" i="3"/>
  <c r="X29" i="3"/>
  <c r="X25" i="3"/>
  <c r="X36" i="3"/>
  <c r="AG47" i="6"/>
  <c r="AH29" i="6"/>
  <c r="E33" i="15" s="1"/>
  <c r="AH33" i="6"/>
  <c r="E37" i="15" s="1"/>
  <c r="AH37" i="6"/>
  <c r="E41" i="15" s="1"/>
  <c r="AH41" i="6"/>
  <c r="E45" i="15" s="1"/>
  <c r="AH45" i="6"/>
  <c r="E49" i="15" s="1"/>
  <c r="AH31" i="6"/>
  <c r="E35" i="15" s="1"/>
  <c r="AH39" i="6"/>
  <c r="E43" i="15" s="1"/>
  <c r="AH28" i="6"/>
  <c r="E32" i="15" s="1"/>
  <c r="AH36" i="6"/>
  <c r="E40" i="15" s="1"/>
  <c r="AH44" i="6"/>
  <c r="E48" i="15" s="1"/>
  <c r="AH26" i="6"/>
  <c r="E30" i="15" s="1"/>
  <c r="AH30" i="6"/>
  <c r="E34" i="15" s="1"/>
  <c r="AH34" i="6"/>
  <c r="E38" i="15" s="1"/>
  <c r="AH38" i="6"/>
  <c r="E42" i="15" s="1"/>
  <c r="AH42" i="6"/>
  <c r="E46" i="15" s="1"/>
  <c r="AH27" i="6"/>
  <c r="E31" i="15" s="1"/>
  <c r="AH35" i="6"/>
  <c r="E39" i="15" s="1"/>
  <c r="AH43" i="6"/>
  <c r="E47" i="15" s="1"/>
  <c r="AH32" i="6"/>
  <c r="E36" i="15" s="1"/>
  <c r="AH40" i="6"/>
  <c r="E44" i="15" s="1"/>
  <c r="OG116" i="9"/>
  <c r="OF117" i="9"/>
  <c r="OE117" i="9"/>
  <c r="OD116" i="9"/>
  <c r="NN106" i="9"/>
  <c r="NO107" i="9"/>
  <c r="OF114" i="9"/>
  <c r="OG115" i="9"/>
  <c r="OE113" i="9"/>
  <c r="OD112" i="9"/>
  <c r="OB110" i="9"/>
  <c r="OC111" i="9"/>
  <c r="OA109" i="9"/>
  <c r="NZ108" i="9"/>
  <c r="NY107" i="9"/>
  <c r="NX106" i="9"/>
  <c r="NW115" i="9"/>
  <c r="NV114" i="9"/>
  <c r="NT112" i="9"/>
  <c r="NU113" i="9"/>
  <c r="NS111" i="9"/>
  <c r="NR110" i="9"/>
  <c r="NP108" i="9"/>
  <c r="NQ109" i="9"/>
  <c r="BR108" i="9"/>
  <c r="BS107" i="9"/>
  <c r="X18" i="3"/>
  <c r="E21" i="12"/>
  <c r="I21" i="12"/>
  <c r="BQ107" i="9"/>
  <c r="W45" i="3"/>
  <c r="W46" i="3" s="1"/>
  <c r="H12" i="15"/>
  <c r="H24" i="15"/>
  <c r="D106" i="9"/>
  <c r="E107" i="9"/>
  <c r="X7" i="3"/>
  <c r="X11" i="3"/>
  <c r="X15" i="3"/>
  <c r="X19" i="3"/>
  <c r="X23" i="3"/>
  <c r="X8" i="3"/>
  <c r="X12" i="3"/>
  <c r="X16" i="3"/>
  <c r="X20" i="3"/>
  <c r="X24" i="3"/>
  <c r="X9" i="3"/>
  <c r="X13" i="3"/>
  <c r="X17" i="3"/>
  <c r="X21" i="3"/>
  <c r="X6" i="3"/>
  <c r="X10" i="3"/>
  <c r="X14" i="3"/>
  <c r="X22" i="3"/>
  <c r="X5" i="3"/>
  <c r="AH14" i="6"/>
  <c r="E18" i="15" s="1"/>
  <c r="AH22" i="6"/>
  <c r="E26" i="15" s="1"/>
  <c r="AH9" i="6"/>
  <c r="E13" i="15" s="1"/>
  <c r="AH25" i="6"/>
  <c r="E29" i="15" s="1"/>
  <c r="AH18" i="6"/>
  <c r="E22" i="15" s="1"/>
  <c r="AH13" i="6"/>
  <c r="E17" i="15" s="1"/>
  <c r="AH21" i="6"/>
  <c r="E25" i="15" s="1"/>
  <c r="AH17" i="6"/>
  <c r="E21" i="15" s="1"/>
  <c r="AH10" i="6"/>
  <c r="E14" i="15" s="1"/>
  <c r="AH12" i="6"/>
  <c r="E16" i="15" s="1"/>
  <c r="AH15" i="6"/>
  <c r="E19" i="15" s="1"/>
  <c r="AH19" i="6"/>
  <c r="E23" i="15" s="1"/>
  <c r="AH24" i="6"/>
  <c r="E28" i="15" s="1"/>
  <c r="AH8" i="6"/>
  <c r="E12" i="15" s="1"/>
  <c r="AH20" i="6"/>
  <c r="E24" i="15" s="1"/>
  <c r="AH16" i="6"/>
  <c r="E20" i="15" s="1"/>
  <c r="AH23" i="6"/>
  <c r="E27" i="15" s="1"/>
  <c r="AH11" i="6"/>
  <c r="E15" i="15" s="1"/>
  <c r="AI5" i="7"/>
  <c r="H10" i="15" s="1"/>
  <c r="H14" i="15"/>
  <c r="H26" i="15"/>
  <c r="H29" i="15"/>
  <c r="H17" i="15"/>
  <c r="H21" i="15"/>
  <c r="H25" i="15"/>
  <c r="H15" i="15"/>
  <c r="H19" i="15"/>
  <c r="H23" i="15"/>
  <c r="H27" i="15"/>
  <c r="AH6" i="6"/>
  <c r="E10" i="15" s="1"/>
  <c r="AH7" i="6"/>
  <c r="E11" i="15" s="1"/>
  <c r="N27" i="19"/>
  <c r="N31" i="19"/>
  <c r="R31" i="17" s="1"/>
  <c r="N35" i="19"/>
  <c r="R35" i="17" s="1"/>
  <c r="N39" i="19"/>
  <c r="N43" i="19"/>
  <c r="R43" i="17" s="1"/>
  <c r="BR107" i="9"/>
  <c r="BV108" i="9"/>
  <c r="F21" i="15"/>
  <c r="DK111" i="9"/>
  <c r="EV106" i="9"/>
  <c r="EX106" i="9"/>
  <c r="ET106" i="9"/>
  <c r="ER106" i="9"/>
  <c r="II113" i="9"/>
  <c r="II107" i="9"/>
  <c r="IG112" i="9"/>
  <c r="IG107" i="9"/>
  <c r="IE111" i="9"/>
  <c r="IE107" i="9"/>
  <c r="IC110" i="9"/>
  <c r="IC107" i="9"/>
  <c r="IA109" i="9"/>
  <c r="IA107" i="9"/>
  <c r="HO107" i="9"/>
  <c r="HO106" i="9"/>
  <c r="HK107" i="9"/>
  <c r="HK106" i="9"/>
  <c r="ET114" i="9"/>
  <c r="EP112" i="9"/>
  <c r="HC107" i="9"/>
  <c r="HC114" i="9"/>
  <c r="HS108" i="9"/>
  <c r="HS106" i="9"/>
  <c r="HE106" i="9"/>
  <c r="HE115" i="9"/>
  <c r="HU106" i="9"/>
  <c r="HU107" i="9"/>
  <c r="GY107" i="9"/>
  <c r="GY112" i="9"/>
  <c r="HG107" i="9"/>
  <c r="HG116" i="9"/>
  <c r="HW107" i="9"/>
  <c r="HW108" i="9"/>
  <c r="HA106" i="9"/>
  <c r="HA113" i="9"/>
  <c r="HI106" i="9"/>
  <c r="HI117" i="9"/>
  <c r="HY108" i="9"/>
  <c r="HZ113" i="9"/>
  <c r="EX116" i="9"/>
  <c r="ER113" i="9"/>
  <c r="EV115" i="9"/>
  <c r="EV108" i="9"/>
  <c r="ET108" i="9"/>
  <c r="BP107" i="9"/>
  <c r="BT106" i="9"/>
  <c r="BV106" i="9"/>
  <c r="CK108" i="9"/>
  <c r="GG107" i="9"/>
  <c r="GG106" i="9"/>
  <c r="GO107" i="9"/>
  <c r="GO106" i="9"/>
  <c r="GW107" i="9"/>
  <c r="GW106" i="9"/>
  <c r="GK107" i="9"/>
  <c r="GK106" i="9"/>
  <c r="GS108" i="9"/>
  <c r="GS106" i="9"/>
  <c r="GE106" i="9"/>
  <c r="GE107" i="9"/>
  <c r="GM106" i="9"/>
  <c r="GM107" i="9"/>
  <c r="GU106" i="9"/>
  <c r="GU107" i="9"/>
  <c r="GI106" i="9"/>
  <c r="GI107" i="9"/>
  <c r="GQ106" i="9"/>
  <c r="GQ107" i="9"/>
  <c r="N25" i="19"/>
  <c r="N29" i="19"/>
  <c r="R29" i="17" s="1"/>
  <c r="N33" i="19"/>
  <c r="R33" i="17" s="1"/>
  <c r="N37" i="19"/>
  <c r="N41" i="19"/>
  <c r="N7" i="24"/>
  <c r="N11" i="24"/>
  <c r="N15" i="24"/>
  <c r="N19" i="24"/>
  <c r="N23" i="24"/>
  <c r="N27" i="24"/>
  <c r="CI107" i="9"/>
  <c r="CI115" i="9"/>
  <c r="CH114" i="9"/>
  <c r="BU111" i="9"/>
  <c r="BR109" i="9"/>
  <c r="BS108" i="9"/>
  <c r="N6" i="24"/>
  <c r="N10" i="24"/>
  <c r="N14" i="24"/>
  <c r="N18" i="24"/>
  <c r="M45" i="19"/>
  <c r="M46" i="19" s="1"/>
  <c r="N22" i="24"/>
  <c r="N26" i="24"/>
  <c r="H11" i="15"/>
  <c r="Q45" i="17"/>
  <c r="Q46" i="17" s="1"/>
  <c r="M45" i="24"/>
  <c r="M46" i="24" s="1"/>
  <c r="N8" i="24"/>
  <c r="N12" i="24"/>
  <c r="N16" i="24"/>
  <c r="N20" i="24"/>
  <c r="N24" i="24"/>
  <c r="N28" i="24"/>
  <c r="N9" i="24"/>
  <c r="N13" i="24"/>
  <c r="N17" i="24"/>
  <c r="N21" i="24"/>
  <c r="N25" i="24"/>
  <c r="N29" i="24"/>
  <c r="N24" i="19"/>
  <c r="N28" i="19"/>
  <c r="N32" i="19"/>
  <c r="R32" i="17" s="1"/>
  <c r="N36" i="19"/>
  <c r="N40" i="19"/>
  <c r="R40" i="17" s="1"/>
  <c r="N44" i="19"/>
  <c r="R44" i="17" s="1"/>
  <c r="N26" i="19"/>
  <c r="N30" i="19"/>
  <c r="N34" i="19"/>
  <c r="N38" i="19"/>
  <c r="N42" i="19"/>
  <c r="R42" i="17" s="1"/>
  <c r="R45" i="4"/>
  <c r="R46" i="4" s="1"/>
  <c r="AG46" i="22"/>
  <c r="AG47" i="22" s="1"/>
  <c r="HU108" i="9"/>
  <c r="HV109" i="9"/>
  <c r="H28" i="15"/>
  <c r="AH45" i="7"/>
  <c r="AH46" i="7" s="1"/>
  <c r="E14" i="12"/>
  <c r="N5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EP106" i="9"/>
  <c r="ER108" i="9"/>
  <c r="ET110" i="9"/>
  <c r="EV112" i="9"/>
  <c r="EX114" i="9"/>
  <c r="DK106" i="9"/>
  <c r="N6" i="19"/>
  <c r="R6" i="17" s="1"/>
  <c r="N8" i="19"/>
  <c r="R8" i="17" s="1"/>
  <c r="N10" i="19"/>
  <c r="R10" i="17" s="1"/>
  <c r="N12" i="19"/>
  <c r="N14" i="19"/>
  <c r="N16" i="19"/>
  <c r="N18" i="19"/>
  <c r="R18" i="17" s="1"/>
  <c r="N20" i="19"/>
  <c r="R20" i="17" s="1"/>
  <c r="N22" i="19"/>
  <c r="R22" i="17" s="1"/>
  <c r="N7" i="19"/>
  <c r="R7" i="17" s="1"/>
  <c r="N9" i="19"/>
  <c r="R9" i="17" s="1"/>
  <c r="N11" i="19"/>
  <c r="N13" i="19"/>
  <c r="R13" i="17" s="1"/>
  <c r="N15" i="19"/>
  <c r="N17" i="19"/>
  <c r="R17" i="17" s="1"/>
  <c r="N19" i="19"/>
  <c r="R19" i="17" s="1"/>
  <c r="N21" i="19"/>
  <c r="R21" i="17" s="1"/>
  <c r="N23" i="19"/>
  <c r="R23" i="17" s="1"/>
  <c r="N5" i="19"/>
  <c r="R5" i="17" s="1"/>
  <c r="AT107" i="9"/>
  <c r="AV109" i="9"/>
  <c r="AX111" i="9"/>
  <c r="AZ113" i="9"/>
  <c r="BB115" i="9"/>
  <c r="BD117" i="9"/>
  <c r="BF107" i="9"/>
  <c r="BH109" i="9"/>
  <c r="BJ111" i="9"/>
  <c r="BL113" i="9"/>
  <c r="S45" i="4"/>
  <c r="BN107" i="9"/>
  <c r="BP108" i="9"/>
  <c r="BR110" i="9"/>
  <c r="BT112" i="9"/>
  <c r="BV114" i="9"/>
  <c r="CF116" i="9"/>
  <c r="CH106" i="9"/>
  <c r="CJ108" i="9"/>
  <c r="CL110" i="9"/>
  <c r="CO113" i="9"/>
  <c r="E50" i="15" l="1"/>
  <c r="H50" i="15"/>
  <c r="D10" i="15"/>
  <c r="G10" i="15" s="1"/>
  <c r="J10" i="15" s="1"/>
  <c r="R16" i="17"/>
  <c r="D36" i="15"/>
  <c r="G36" i="15" s="1"/>
  <c r="J36" i="15" s="1"/>
  <c r="R37" i="17"/>
  <c r="D42" i="15" s="1"/>
  <c r="G42" i="15" s="1"/>
  <c r="J42" i="15" s="1"/>
  <c r="R24" i="17"/>
  <c r="D29" i="15" s="1"/>
  <c r="G29" i="15" s="1"/>
  <c r="J29" i="15" s="1"/>
  <c r="R34" i="17"/>
  <c r="D39" i="15" s="1"/>
  <c r="G39" i="15" s="1"/>
  <c r="J39" i="15" s="1"/>
  <c r="D24" i="15"/>
  <c r="D25" i="15"/>
  <c r="D38" i="15"/>
  <c r="G38" i="15" s="1"/>
  <c r="J38" i="15" s="1"/>
  <c r="D48" i="15"/>
  <c r="G48" i="15" s="1"/>
  <c r="J48" i="15" s="1"/>
  <c r="R36" i="17"/>
  <c r="D41" i="15" s="1"/>
  <c r="G41" i="15" s="1"/>
  <c r="J41" i="15" s="1"/>
  <c r="R14" i="17"/>
  <c r="D19" i="15" s="1"/>
  <c r="G19" i="15" s="1"/>
  <c r="R25" i="17"/>
  <c r="D30" i="15" s="1"/>
  <c r="G30" i="15" s="1"/>
  <c r="J30" i="15" s="1"/>
  <c r="R12" i="17"/>
  <c r="D17" i="15" s="1"/>
  <c r="D28" i="15"/>
  <c r="D12" i="15"/>
  <c r="G12" i="15" s="1"/>
  <c r="J12" i="15" s="1"/>
  <c r="D13" i="15"/>
  <c r="G13" i="15" s="1"/>
  <c r="D49" i="15"/>
  <c r="G49" i="15" s="1"/>
  <c r="J49" i="15" s="1"/>
  <c r="D40" i="15"/>
  <c r="G40" i="15" s="1"/>
  <c r="J40" i="15" s="1"/>
  <c r="D26" i="15"/>
  <c r="D27" i="15"/>
  <c r="D11" i="15"/>
  <c r="D45" i="15"/>
  <c r="G45" i="15" s="1"/>
  <c r="J45" i="15" s="1"/>
  <c r="D22" i="15"/>
  <c r="D14" i="15"/>
  <c r="D23" i="15"/>
  <c r="D15" i="15"/>
  <c r="D47" i="15"/>
  <c r="G47" i="15" s="1"/>
  <c r="J47" i="15" s="1"/>
  <c r="D37" i="15"/>
  <c r="G37" i="15" s="1"/>
  <c r="J37" i="15" s="1"/>
  <c r="D34" i="15"/>
  <c r="G34" i="15" s="1"/>
  <c r="J34" i="15" s="1"/>
  <c r="R27" i="17"/>
  <c r="D32" i="15" s="1"/>
  <c r="G32" i="15" s="1"/>
  <c r="J32" i="15" s="1"/>
  <c r="R38" i="17"/>
  <c r="D43" i="15" s="1"/>
  <c r="G43" i="15" s="1"/>
  <c r="J43" i="15" s="1"/>
  <c r="R39" i="17"/>
  <c r="D44" i="15" s="1"/>
  <c r="G44" i="15" s="1"/>
  <c r="J44" i="15" s="1"/>
  <c r="R26" i="17"/>
  <c r="D31" i="15" s="1"/>
  <c r="G31" i="15" s="1"/>
  <c r="J31" i="15" s="1"/>
  <c r="R11" i="17"/>
  <c r="D16" i="15" s="1"/>
  <c r="G16" i="15" s="1"/>
  <c r="R30" i="17"/>
  <c r="D35" i="15" s="1"/>
  <c r="G35" i="15" s="1"/>
  <c r="J35" i="15" s="1"/>
  <c r="R15" i="17"/>
  <c r="D20" i="15" s="1"/>
  <c r="R41" i="17"/>
  <c r="C39" i="25" s="1"/>
  <c r="F39" i="25" s="1"/>
  <c r="R28" i="17"/>
  <c r="D33" i="15" s="1"/>
  <c r="G33" i="15" s="1"/>
  <c r="J33" i="15" s="1"/>
  <c r="D18" i="15"/>
  <c r="X45" i="3"/>
  <c r="X46" i="3" s="1"/>
  <c r="F22" i="15"/>
  <c r="C33" i="25"/>
  <c r="F33" i="25" s="1"/>
  <c r="C42" i="25"/>
  <c r="F42" i="25" s="1"/>
  <c r="C41" i="25"/>
  <c r="F41" i="25" s="1"/>
  <c r="BO107" i="9"/>
  <c r="BO108" i="9"/>
  <c r="BN109" i="9"/>
  <c r="C40" i="25"/>
  <c r="F40" i="25" s="1"/>
  <c r="AH46" i="6"/>
  <c r="AH47" i="6" s="1"/>
  <c r="AI45" i="7"/>
  <c r="AI46" i="7" s="1"/>
  <c r="C38" i="25"/>
  <c r="F38" i="25" s="1"/>
  <c r="BN106" i="9"/>
  <c r="N45" i="24"/>
  <c r="N46" i="24" s="1"/>
  <c r="AH46" i="22"/>
  <c r="AH47" i="22" s="1"/>
  <c r="S46" i="4"/>
  <c r="N45" i="19"/>
  <c r="Q34" i="15" l="1"/>
  <c r="P34" i="15"/>
  <c r="P39" i="15"/>
  <c r="Q39" i="15"/>
  <c r="P37" i="15"/>
  <c r="Q37" i="15"/>
  <c r="P30" i="15"/>
  <c r="Q30" i="15"/>
  <c r="P29" i="15"/>
  <c r="Q29" i="15"/>
  <c r="Q35" i="15"/>
  <c r="P35" i="15"/>
  <c r="Q47" i="15"/>
  <c r="P47" i="15"/>
  <c r="Q42" i="15"/>
  <c r="P42" i="15"/>
  <c r="P40" i="15"/>
  <c r="Q40" i="15"/>
  <c r="Q41" i="15"/>
  <c r="P41" i="15"/>
  <c r="P36" i="15"/>
  <c r="Q36" i="15"/>
  <c r="P31" i="15"/>
  <c r="Q31" i="15"/>
  <c r="P49" i="15"/>
  <c r="Q49" i="15"/>
  <c r="P48" i="15"/>
  <c r="Q48" i="15"/>
  <c r="P38" i="15"/>
  <c r="Q38" i="15"/>
  <c r="Q10" i="15"/>
  <c r="P10" i="15"/>
  <c r="Q43" i="15"/>
  <c r="P43" i="15"/>
  <c r="P12" i="15"/>
  <c r="Q12" i="15"/>
  <c r="P44" i="15"/>
  <c r="Q44" i="15"/>
  <c r="P33" i="15"/>
  <c r="Q33" i="15"/>
  <c r="P32" i="15"/>
  <c r="Q32" i="15"/>
  <c r="P45" i="15"/>
  <c r="Q45" i="15"/>
  <c r="T43" i="15"/>
  <c r="V43" i="15"/>
  <c r="N43" i="15"/>
  <c r="W43" i="15"/>
  <c r="O43" i="15"/>
  <c r="S43" i="15"/>
  <c r="U43" i="15"/>
  <c r="M43" i="15"/>
  <c r="R43" i="15"/>
  <c r="S12" i="15"/>
  <c r="T12" i="15"/>
  <c r="U12" i="15"/>
  <c r="M12" i="15"/>
  <c r="V12" i="15"/>
  <c r="N12" i="15"/>
  <c r="W12" i="15"/>
  <c r="O12" i="15"/>
  <c r="R12" i="15"/>
  <c r="V33" i="15"/>
  <c r="N33" i="15"/>
  <c r="W33" i="15"/>
  <c r="O33" i="15"/>
  <c r="S33" i="15"/>
  <c r="R33" i="15"/>
  <c r="U33" i="15"/>
  <c r="M33" i="15"/>
  <c r="T33" i="15"/>
  <c r="W32" i="15"/>
  <c r="O32" i="15"/>
  <c r="T32" i="15"/>
  <c r="R32" i="15"/>
  <c r="S32" i="15"/>
  <c r="U32" i="15"/>
  <c r="V32" i="15"/>
  <c r="N32" i="15"/>
  <c r="M32" i="15"/>
  <c r="R45" i="15"/>
  <c r="T45" i="15"/>
  <c r="U45" i="15"/>
  <c r="M45" i="15"/>
  <c r="O45" i="15"/>
  <c r="V45" i="15"/>
  <c r="N45" i="15"/>
  <c r="W45" i="15"/>
  <c r="S45" i="15"/>
  <c r="U34" i="15"/>
  <c r="M34" i="15"/>
  <c r="W34" i="15"/>
  <c r="O34" i="15"/>
  <c r="R34" i="15"/>
  <c r="T34" i="15"/>
  <c r="V34" i="15"/>
  <c r="N34" i="15"/>
  <c r="S34" i="15"/>
  <c r="R39" i="15"/>
  <c r="S39" i="15"/>
  <c r="U39" i="15"/>
  <c r="M39" i="15"/>
  <c r="T39" i="15"/>
  <c r="V39" i="15"/>
  <c r="W39" i="15"/>
  <c r="O39" i="15"/>
  <c r="N39" i="15"/>
  <c r="R37" i="15"/>
  <c r="S37" i="15"/>
  <c r="T37" i="15"/>
  <c r="O37" i="15"/>
  <c r="U37" i="15"/>
  <c r="M37" i="15"/>
  <c r="V37" i="15"/>
  <c r="N37" i="15"/>
  <c r="W37" i="15"/>
  <c r="R30" i="15"/>
  <c r="S30" i="15"/>
  <c r="T30" i="15"/>
  <c r="N30" i="15"/>
  <c r="W30" i="15"/>
  <c r="U30" i="15"/>
  <c r="M30" i="15"/>
  <c r="V30" i="15"/>
  <c r="O30" i="15"/>
  <c r="R29" i="15"/>
  <c r="T29" i="15"/>
  <c r="W29" i="15"/>
  <c r="U29" i="15"/>
  <c r="M29" i="15"/>
  <c r="V29" i="15"/>
  <c r="N29" i="15"/>
  <c r="O29" i="15"/>
  <c r="S29" i="15"/>
  <c r="T35" i="15"/>
  <c r="U35" i="15"/>
  <c r="M35" i="15"/>
  <c r="V35" i="15"/>
  <c r="N35" i="15"/>
  <c r="W35" i="15"/>
  <c r="O35" i="15"/>
  <c r="S35" i="15"/>
  <c r="R35" i="15"/>
  <c r="R47" i="15"/>
  <c r="V47" i="15"/>
  <c r="S47" i="15"/>
  <c r="T47" i="15"/>
  <c r="U47" i="15"/>
  <c r="M47" i="15"/>
  <c r="W47" i="15"/>
  <c r="O47" i="15"/>
  <c r="N47" i="15"/>
  <c r="U42" i="15"/>
  <c r="M42" i="15"/>
  <c r="N42" i="15"/>
  <c r="W42" i="15"/>
  <c r="O42" i="15"/>
  <c r="R42" i="15"/>
  <c r="T42" i="15"/>
  <c r="V42" i="15"/>
  <c r="S42" i="15"/>
  <c r="W40" i="15"/>
  <c r="O40" i="15"/>
  <c r="R40" i="15"/>
  <c r="T40" i="15"/>
  <c r="U40" i="15"/>
  <c r="S40" i="15"/>
  <c r="V40" i="15"/>
  <c r="N40" i="15"/>
  <c r="M40" i="15"/>
  <c r="V41" i="15"/>
  <c r="N41" i="15"/>
  <c r="S41" i="15"/>
  <c r="R41" i="15"/>
  <c r="U41" i="15"/>
  <c r="M41" i="15"/>
  <c r="W41" i="15"/>
  <c r="O41" i="15"/>
  <c r="T41" i="15"/>
  <c r="S36" i="15"/>
  <c r="U36" i="15"/>
  <c r="M36" i="15"/>
  <c r="V36" i="15"/>
  <c r="N36" i="15"/>
  <c r="W36" i="15"/>
  <c r="O36" i="15"/>
  <c r="R36" i="15"/>
  <c r="T36" i="15"/>
  <c r="R31" i="15"/>
  <c r="M31" i="15"/>
  <c r="S31" i="15"/>
  <c r="V31" i="15"/>
  <c r="T31" i="15"/>
  <c r="U31" i="15"/>
  <c r="W31" i="15"/>
  <c r="O31" i="15"/>
  <c r="N31" i="15"/>
  <c r="V49" i="15"/>
  <c r="N49" i="15"/>
  <c r="O49" i="15"/>
  <c r="R49" i="15"/>
  <c r="S49" i="15"/>
  <c r="U49" i="15"/>
  <c r="M49" i="15"/>
  <c r="W49" i="15"/>
  <c r="T49" i="15"/>
  <c r="W48" i="15"/>
  <c r="O48" i="15"/>
  <c r="R48" i="15"/>
  <c r="S48" i="15"/>
  <c r="T48" i="15"/>
  <c r="V48" i="15"/>
  <c r="N48" i="15"/>
  <c r="M48" i="15"/>
  <c r="U48" i="15"/>
  <c r="S44" i="15"/>
  <c r="T44" i="15"/>
  <c r="U44" i="15"/>
  <c r="M44" i="15"/>
  <c r="V44" i="15"/>
  <c r="N44" i="15"/>
  <c r="W44" i="15"/>
  <c r="O44" i="15"/>
  <c r="R44" i="15"/>
  <c r="W38" i="15"/>
  <c r="S38" i="15"/>
  <c r="T38" i="15"/>
  <c r="U38" i="15"/>
  <c r="M38" i="15"/>
  <c r="V38" i="15"/>
  <c r="N38" i="15"/>
  <c r="R38" i="15"/>
  <c r="O38" i="15"/>
  <c r="N10" i="15"/>
  <c r="O10" i="15"/>
  <c r="W10" i="15"/>
  <c r="R10" i="15"/>
  <c r="S10" i="15"/>
  <c r="U10" i="15"/>
  <c r="V10" i="15"/>
  <c r="T10" i="15"/>
  <c r="C35" i="25"/>
  <c r="F35" i="25" s="1"/>
  <c r="K35" i="15"/>
  <c r="K31" i="15"/>
  <c r="K43" i="15"/>
  <c r="K34" i="15"/>
  <c r="K47" i="15"/>
  <c r="K49" i="15"/>
  <c r="K48" i="15"/>
  <c r="K39" i="15"/>
  <c r="K42" i="15"/>
  <c r="K33" i="15"/>
  <c r="K44" i="15"/>
  <c r="K32" i="15"/>
  <c r="K37" i="15"/>
  <c r="K45" i="15"/>
  <c r="K40" i="15"/>
  <c r="K30" i="15"/>
  <c r="K41" i="15"/>
  <c r="K38" i="15"/>
  <c r="K29" i="15"/>
  <c r="K36" i="15"/>
  <c r="K10" i="15"/>
  <c r="M10" i="15"/>
  <c r="X36" i="15"/>
  <c r="X49" i="15"/>
  <c r="C37" i="25"/>
  <c r="F37" i="25" s="1"/>
  <c r="X34" i="15"/>
  <c r="X37" i="15"/>
  <c r="X38" i="15"/>
  <c r="X33" i="15"/>
  <c r="C34" i="25"/>
  <c r="F34" i="25" s="1"/>
  <c r="X40" i="15"/>
  <c r="X45" i="15"/>
  <c r="R45" i="17"/>
  <c r="R46" i="17" s="1"/>
  <c r="X32" i="15"/>
  <c r="X39" i="15"/>
  <c r="X42" i="15"/>
  <c r="X35" i="15"/>
  <c r="X43" i="15"/>
  <c r="X30" i="15"/>
  <c r="X31" i="15"/>
  <c r="X41" i="15"/>
  <c r="D46" i="15"/>
  <c r="G46" i="15" s="1"/>
  <c r="J46" i="15" s="1"/>
  <c r="C36" i="25"/>
  <c r="F36" i="25" s="1"/>
  <c r="X44" i="15"/>
  <c r="X47" i="15"/>
  <c r="X48" i="15"/>
  <c r="D21" i="15"/>
  <c r="G21" i="15" s="1"/>
  <c r="J21" i="15" s="1"/>
  <c r="J19" i="15"/>
  <c r="X29" i="15"/>
  <c r="X10" i="15"/>
  <c r="J13" i="15"/>
  <c r="J16" i="15"/>
  <c r="G11" i="15"/>
  <c r="J11" i="15" s="1"/>
  <c r="G15" i="15"/>
  <c r="J15" i="15" s="1"/>
  <c r="G14" i="15"/>
  <c r="J14" i="15" s="1"/>
  <c r="G18" i="15"/>
  <c r="J18" i="15" s="1"/>
  <c r="G17" i="15"/>
  <c r="J17" i="15" s="1"/>
  <c r="G22" i="15"/>
  <c r="G20" i="15"/>
  <c r="J20" i="15" s="1"/>
  <c r="F23" i="15"/>
  <c r="N46" i="19"/>
  <c r="JA107" i="9"/>
  <c r="JA108" i="9"/>
  <c r="JA109" i="9"/>
  <c r="JA110" i="9"/>
  <c r="JA111" i="9"/>
  <c r="JA112" i="9"/>
  <c r="JA113" i="9"/>
  <c r="JA114" i="9"/>
  <c r="JA116" i="9"/>
  <c r="JA117" i="9"/>
  <c r="JA106" i="9"/>
  <c r="IZ107" i="9"/>
  <c r="IZ108" i="9"/>
  <c r="IZ109" i="9"/>
  <c r="IZ110" i="9"/>
  <c r="IZ111" i="9"/>
  <c r="IZ112" i="9"/>
  <c r="IZ113" i="9"/>
  <c r="IZ115" i="9"/>
  <c r="IZ116" i="9"/>
  <c r="IZ117" i="9"/>
  <c r="IZ106" i="9"/>
  <c r="IY107" i="9"/>
  <c r="IY108" i="9"/>
  <c r="IY109" i="9"/>
  <c r="IY110" i="9"/>
  <c r="IY111" i="9"/>
  <c r="IY112" i="9"/>
  <c r="IY114" i="9"/>
  <c r="IY115" i="9"/>
  <c r="IY116" i="9"/>
  <c r="IY117" i="9"/>
  <c r="IY106" i="9"/>
  <c r="IX107" i="9"/>
  <c r="IX108" i="9"/>
  <c r="IX109" i="9"/>
  <c r="IX110" i="9"/>
  <c r="IX111" i="9"/>
  <c r="IX113" i="9"/>
  <c r="IX114" i="9"/>
  <c r="IX115" i="9"/>
  <c r="IX116" i="9"/>
  <c r="IX117" i="9"/>
  <c r="IX106" i="9"/>
  <c r="IW107" i="9"/>
  <c r="IW108" i="9"/>
  <c r="IW109" i="9"/>
  <c r="IW110" i="9"/>
  <c r="IW112" i="9"/>
  <c r="IW113" i="9"/>
  <c r="IW114" i="9"/>
  <c r="IW115" i="9"/>
  <c r="IW116" i="9"/>
  <c r="IW117" i="9"/>
  <c r="IW106" i="9"/>
  <c r="IV107" i="9"/>
  <c r="IV108" i="9"/>
  <c r="IV109" i="9"/>
  <c r="IV111" i="9"/>
  <c r="IV112" i="9"/>
  <c r="IV113" i="9"/>
  <c r="IV114" i="9"/>
  <c r="IV115" i="9"/>
  <c r="IV116" i="9"/>
  <c r="IV117" i="9"/>
  <c r="IV106" i="9"/>
  <c r="IU107" i="9"/>
  <c r="IU108" i="9"/>
  <c r="IU110" i="9"/>
  <c r="IU111" i="9"/>
  <c r="IU112" i="9"/>
  <c r="IU113" i="9"/>
  <c r="IU114" i="9"/>
  <c r="IU115" i="9"/>
  <c r="IU116" i="9"/>
  <c r="IU117" i="9"/>
  <c r="IU106" i="9"/>
  <c r="IT107" i="9"/>
  <c r="IT109" i="9"/>
  <c r="IT110" i="9"/>
  <c r="IT111" i="9"/>
  <c r="IT112" i="9"/>
  <c r="IT113" i="9"/>
  <c r="IT114" i="9"/>
  <c r="IT115" i="9"/>
  <c r="IT116" i="9"/>
  <c r="IT117" i="9"/>
  <c r="IT106" i="9"/>
  <c r="IS108" i="9"/>
  <c r="IS109" i="9"/>
  <c r="IS110" i="9"/>
  <c r="IS111" i="9"/>
  <c r="IS112" i="9"/>
  <c r="IS113" i="9"/>
  <c r="IS114" i="9"/>
  <c r="IS115" i="9"/>
  <c r="IS116" i="9"/>
  <c r="IS117" i="9"/>
  <c r="IS106" i="9"/>
  <c r="IR107" i="9"/>
  <c r="IR108" i="9"/>
  <c r="IR109" i="9"/>
  <c r="IR110" i="9"/>
  <c r="IR111" i="9"/>
  <c r="IR112" i="9"/>
  <c r="IR113" i="9"/>
  <c r="IR114" i="9"/>
  <c r="IR115" i="9"/>
  <c r="IR116" i="9"/>
  <c r="IR117" i="9"/>
  <c r="EO107" i="9"/>
  <c r="EO108" i="9"/>
  <c r="EO109" i="9"/>
  <c r="EO110" i="9"/>
  <c r="EO111" i="9"/>
  <c r="EO112" i="9"/>
  <c r="EO114" i="9"/>
  <c r="EO115" i="9"/>
  <c r="EO116" i="9"/>
  <c r="EO117" i="9"/>
  <c r="EO106" i="9"/>
  <c r="EN108" i="9"/>
  <c r="EN109" i="9"/>
  <c r="EN110" i="9"/>
  <c r="EN113" i="9"/>
  <c r="EN114" i="9"/>
  <c r="EN115" i="9"/>
  <c r="EN116" i="9"/>
  <c r="EN117" i="9"/>
  <c r="EM107" i="9"/>
  <c r="EM108" i="9"/>
  <c r="EM109" i="9"/>
  <c r="EM110" i="9"/>
  <c r="EM112" i="9"/>
  <c r="EM113" i="9"/>
  <c r="EM114" i="9"/>
  <c r="EM115" i="9"/>
  <c r="EM116" i="9"/>
  <c r="EM117" i="9"/>
  <c r="EM106" i="9"/>
  <c r="EL107" i="9"/>
  <c r="EL108" i="9"/>
  <c r="EL109" i="9"/>
  <c r="EL111" i="9"/>
  <c r="EL112" i="9"/>
  <c r="EL113" i="9"/>
  <c r="EL114" i="9"/>
  <c r="EL115" i="9"/>
  <c r="EL116" i="9"/>
  <c r="EL117" i="9"/>
  <c r="EK107" i="9"/>
  <c r="EK108" i="9"/>
  <c r="EK110" i="9"/>
  <c r="EK111" i="9"/>
  <c r="EK112" i="9"/>
  <c r="EK113" i="9"/>
  <c r="EK114" i="9"/>
  <c r="EK115" i="9"/>
  <c r="EK116" i="9"/>
  <c r="EK117" i="9"/>
  <c r="EK106" i="9"/>
  <c r="EJ107" i="9"/>
  <c r="EJ110" i="9"/>
  <c r="EJ111" i="9"/>
  <c r="EJ112" i="9"/>
  <c r="EJ113" i="9"/>
  <c r="EJ114" i="9"/>
  <c r="EJ115" i="9"/>
  <c r="EJ116" i="9"/>
  <c r="EJ117" i="9"/>
  <c r="EI108" i="9"/>
  <c r="EI109" i="9"/>
  <c r="EI110" i="9"/>
  <c r="EI111" i="9"/>
  <c r="EI112" i="9"/>
  <c r="EI113" i="9"/>
  <c r="EI114" i="9"/>
  <c r="EI115" i="9"/>
  <c r="EI116" i="9"/>
  <c r="EI117" i="9"/>
  <c r="EI106" i="9"/>
  <c r="EH107" i="9"/>
  <c r="EH109" i="9"/>
  <c r="EH110" i="9"/>
  <c r="EH111" i="9"/>
  <c r="EH112" i="9"/>
  <c r="EH113" i="9"/>
  <c r="EH114" i="9"/>
  <c r="EH115" i="9"/>
  <c r="EH116" i="9"/>
  <c r="EH117" i="9"/>
  <c r="EG107" i="9"/>
  <c r="EG108" i="9"/>
  <c r="EG109" i="9"/>
  <c r="EG110" i="9"/>
  <c r="EG111" i="9"/>
  <c r="EG112" i="9"/>
  <c r="EG113" i="9"/>
  <c r="EG114" i="9"/>
  <c r="EG115" i="9"/>
  <c r="EG116" i="9"/>
  <c r="EG106" i="9"/>
  <c r="EF108" i="9"/>
  <c r="EF109" i="9"/>
  <c r="EF110" i="9"/>
  <c r="EF111" i="9"/>
  <c r="EF112" i="9"/>
  <c r="EF113" i="9"/>
  <c r="EF114" i="9"/>
  <c r="EF115" i="9"/>
  <c r="EF117" i="9"/>
  <c r="EE107" i="9"/>
  <c r="EE108" i="9"/>
  <c r="EE109" i="9"/>
  <c r="EE110" i="9"/>
  <c r="EE111" i="9"/>
  <c r="EE112" i="9"/>
  <c r="EE113" i="9"/>
  <c r="EE114" i="9"/>
  <c r="EE116" i="9"/>
  <c r="EE117" i="9"/>
  <c r="EE106" i="9"/>
  <c r="ED107" i="9"/>
  <c r="ED108" i="9"/>
  <c r="ED109" i="9"/>
  <c r="ED111" i="9"/>
  <c r="ED112" i="9"/>
  <c r="ED113" i="9"/>
  <c r="ED115" i="9"/>
  <c r="ED116" i="9"/>
  <c r="ED117" i="9"/>
  <c r="EC107" i="9"/>
  <c r="EC108" i="9"/>
  <c r="EC109" i="9"/>
  <c r="EC110" i="9"/>
  <c r="EC111" i="9"/>
  <c r="EC112" i="9"/>
  <c r="EC114" i="9"/>
  <c r="EC115" i="9"/>
  <c r="EC116" i="9"/>
  <c r="EC117" i="9"/>
  <c r="EC106" i="9"/>
  <c r="EB108" i="9"/>
  <c r="EB109" i="9"/>
  <c r="EB111" i="9"/>
  <c r="EB114" i="9"/>
  <c r="EB115" i="9"/>
  <c r="EB116" i="9"/>
  <c r="EB117" i="9"/>
  <c r="EA107" i="9"/>
  <c r="EA108" i="9"/>
  <c r="EA109" i="9"/>
  <c r="EA112" i="9"/>
  <c r="EA113" i="9"/>
  <c r="EA114" i="9"/>
  <c r="EA115" i="9"/>
  <c r="EA116" i="9"/>
  <c r="EA117" i="9"/>
  <c r="EA106" i="9"/>
  <c r="DZ107" i="9"/>
  <c r="DZ108" i="9"/>
  <c r="DZ111" i="9"/>
  <c r="DZ112" i="9"/>
  <c r="DZ113" i="9"/>
  <c r="DZ114" i="9"/>
  <c r="DZ115" i="9"/>
  <c r="DZ116" i="9"/>
  <c r="DZ117" i="9"/>
  <c r="DY107" i="9"/>
  <c r="DY108" i="9"/>
  <c r="DY110" i="9"/>
  <c r="DY111" i="9"/>
  <c r="DY112" i="9"/>
  <c r="DY113" i="9"/>
  <c r="DY114" i="9"/>
  <c r="DY115" i="9"/>
  <c r="DY116" i="9"/>
  <c r="DY117" i="9"/>
  <c r="DY106" i="9"/>
  <c r="DX109" i="9"/>
  <c r="DX111" i="9"/>
  <c r="DX112" i="9"/>
  <c r="DX114" i="9"/>
  <c r="DX115" i="9"/>
  <c r="DX116" i="9"/>
  <c r="DX117" i="9"/>
  <c r="DW109" i="9"/>
  <c r="DW111" i="9"/>
  <c r="DW112" i="9"/>
  <c r="DW113" i="9"/>
  <c r="DW114" i="9"/>
  <c r="DW115" i="9"/>
  <c r="DW116" i="9"/>
  <c r="DW117" i="9"/>
  <c r="DW106" i="9"/>
  <c r="DV108" i="9"/>
  <c r="DV110" i="9"/>
  <c r="DV111" i="9"/>
  <c r="DV112" i="9"/>
  <c r="DV113" i="9"/>
  <c r="DV114" i="9"/>
  <c r="DV115" i="9"/>
  <c r="DV116" i="9"/>
  <c r="DV117" i="9"/>
  <c r="DJ107" i="9"/>
  <c r="DJ108" i="9"/>
  <c r="DJ109" i="9"/>
  <c r="DJ110" i="9"/>
  <c r="DJ111" i="9"/>
  <c r="DJ112" i="9"/>
  <c r="DJ114" i="9"/>
  <c r="DJ115" i="9"/>
  <c r="DJ116" i="9"/>
  <c r="DJ117" i="9"/>
  <c r="DJ106" i="9"/>
  <c r="DI107" i="9"/>
  <c r="DI108" i="9"/>
  <c r="DI109" i="9"/>
  <c r="DI111" i="9"/>
  <c r="DI113" i="9"/>
  <c r="DI114" i="9"/>
  <c r="DI115" i="9"/>
  <c r="DI116" i="9"/>
  <c r="DI117" i="9"/>
  <c r="DI106" i="9"/>
  <c r="DH107" i="9"/>
  <c r="DH108" i="9"/>
  <c r="DH109" i="9"/>
  <c r="DH110" i="9"/>
  <c r="DH112" i="9"/>
  <c r="DH113" i="9"/>
  <c r="DH114" i="9"/>
  <c r="DH115" i="9"/>
  <c r="DH116" i="9"/>
  <c r="DH117" i="9"/>
  <c r="DH106" i="9"/>
  <c r="DG107" i="9"/>
  <c r="DG111" i="9"/>
  <c r="DG112" i="9"/>
  <c r="DG113" i="9"/>
  <c r="DG114" i="9"/>
  <c r="DG115" i="9"/>
  <c r="DG116" i="9"/>
  <c r="DG117" i="9"/>
  <c r="DG106" i="9"/>
  <c r="DF107" i="9"/>
  <c r="DF108" i="9"/>
  <c r="DF110" i="9"/>
  <c r="DF111" i="9"/>
  <c r="DF112" i="9"/>
  <c r="DF113" i="9"/>
  <c r="DF114" i="9"/>
  <c r="DF115" i="9"/>
  <c r="DF116" i="9"/>
  <c r="DF117" i="9"/>
  <c r="DF106" i="9"/>
  <c r="DE107" i="9"/>
  <c r="DE109" i="9"/>
  <c r="DE110" i="9"/>
  <c r="DE111" i="9"/>
  <c r="DE112" i="9"/>
  <c r="DE113" i="9"/>
  <c r="DE114" i="9"/>
  <c r="DE115" i="9"/>
  <c r="DE117" i="9"/>
  <c r="DE106" i="9"/>
  <c r="DD108" i="9"/>
  <c r="DD109" i="9"/>
  <c r="DD110" i="9"/>
  <c r="DD111" i="9"/>
  <c r="DD112" i="9"/>
  <c r="DD113" i="9"/>
  <c r="DD114" i="9"/>
  <c r="DD115" i="9"/>
  <c r="DD116" i="9"/>
  <c r="DD117" i="9"/>
  <c r="DD106" i="9"/>
  <c r="DC108" i="9"/>
  <c r="DC109" i="9"/>
  <c r="DC110" i="9"/>
  <c r="DC111" i="9"/>
  <c r="DC112" i="9"/>
  <c r="DC113" i="9"/>
  <c r="DC114" i="9"/>
  <c r="DC116" i="9"/>
  <c r="DC117" i="9"/>
  <c r="DB107" i="9"/>
  <c r="DB108" i="9"/>
  <c r="DB109" i="9"/>
  <c r="DB110" i="9"/>
  <c r="DB111" i="9"/>
  <c r="DB112" i="9"/>
  <c r="DB113" i="9"/>
  <c r="DB114" i="9"/>
  <c r="DB115" i="9"/>
  <c r="DB116" i="9"/>
  <c r="DB106" i="9"/>
  <c r="DA108" i="9"/>
  <c r="DA109" i="9"/>
  <c r="DA110" i="9"/>
  <c r="DA111" i="9"/>
  <c r="DA112" i="9"/>
  <c r="DA113" i="9"/>
  <c r="DA115" i="9"/>
  <c r="DA117" i="9"/>
  <c r="DA106" i="9"/>
  <c r="CZ107" i="9"/>
  <c r="CZ108" i="9"/>
  <c r="CZ109" i="9"/>
  <c r="CZ110" i="9"/>
  <c r="CZ111" i="9"/>
  <c r="CZ112" i="9"/>
  <c r="CZ113" i="9"/>
  <c r="CZ114" i="9"/>
  <c r="CZ116" i="9"/>
  <c r="CZ117" i="9"/>
  <c r="CZ106" i="9"/>
  <c r="CY108" i="9"/>
  <c r="CY109" i="9"/>
  <c r="CY110" i="9"/>
  <c r="CY111" i="9"/>
  <c r="CY112" i="9"/>
  <c r="CY113" i="9"/>
  <c r="CY115" i="9"/>
  <c r="CY116" i="9"/>
  <c r="CY117" i="9"/>
  <c r="CY106" i="9"/>
  <c r="CX107" i="9"/>
  <c r="CX109" i="9"/>
  <c r="CX110" i="9"/>
  <c r="CX111" i="9"/>
  <c r="CX112" i="9"/>
  <c r="CX114" i="9"/>
  <c r="CX115" i="9"/>
  <c r="CX116" i="9"/>
  <c r="CX117" i="9"/>
  <c r="CX106" i="9"/>
  <c r="CW108" i="9"/>
  <c r="CW109" i="9"/>
  <c r="CW110" i="9"/>
  <c r="CW111" i="9"/>
  <c r="CW113" i="9"/>
  <c r="CW114" i="9"/>
  <c r="CW115" i="9"/>
  <c r="CW116" i="9"/>
  <c r="CW117" i="9"/>
  <c r="CW106" i="9"/>
  <c r="CV107" i="9"/>
  <c r="CV109" i="9"/>
  <c r="CV110" i="9"/>
  <c r="CV112" i="9"/>
  <c r="CV113" i="9"/>
  <c r="CV114" i="9"/>
  <c r="CV115" i="9"/>
  <c r="CV116" i="9"/>
  <c r="CV117" i="9"/>
  <c r="CU107" i="9"/>
  <c r="CU108" i="9"/>
  <c r="CU112" i="9"/>
  <c r="CU113" i="9"/>
  <c r="CU114" i="9"/>
  <c r="CU115" i="9"/>
  <c r="CU116" i="9"/>
  <c r="CU117" i="9"/>
  <c r="CT107" i="9"/>
  <c r="CT110" i="9"/>
  <c r="CT111" i="9"/>
  <c r="CT112" i="9"/>
  <c r="CT113" i="9"/>
  <c r="CT114" i="9"/>
  <c r="CT115" i="9"/>
  <c r="CT116" i="9"/>
  <c r="CT117" i="9"/>
  <c r="CS107" i="9"/>
  <c r="CS110" i="9"/>
  <c r="CS111" i="9"/>
  <c r="CS112" i="9"/>
  <c r="CS113" i="9"/>
  <c r="CS114" i="9"/>
  <c r="CS115" i="9"/>
  <c r="CS116" i="9"/>
  <c r="CS117" i="9"/>
  <c r="CR108" i="9"/>
  <c r="CR109" i="9"/>
  <c r="CR110" i="9"/>
  <c r="CR111" i="9"/>
  <c r="CR112" i="9"/>
  <c r="CR113" i="9"/>
  <c r="CR114" i="9"/>
  <c r="CR115" i="9"/>
  <c r="CR116" i="9"/>
  <c r="CR117" i="9"/>
  <c r="CR106" i="9"/>
  <c r="CQ107" i="9"/>
  <c r="CQ108" i="9"/>
  <c r="CQ109" i="9"/>
  <c r="CQ110" i="9"/>
  <c r="CQ111" i="9"/>
  <c r="CQ112" i="9"/>
  <c r="CQ113" i="9"/>
  <c r="CQ114" i="9"/>
  <c r="CQ115" i="9"/>
  <c r="CQ116" i="9"/>
  <c r="CQ117" i="9"/>
  <c r="AR107" i="9"/>
  <c r="AR108" i="9"/>
  <c r="AR109" i="9"/>
  <c r="AR110" i="9"/>
  <c r="AR111" i="9"/>
  <c r="AR112" i="9"/>
  <c r="AR114" i="9"/>
  <c r="AR115" i="9"/>
  <c r="AR116" i="9"/>
  <c r="AR117" i="9"/>
  <c r="AR106" i="9"/>
  <c r="AQ107" i="9"/>
  <c r="AQ108" i="9"/>
  <c r="AQ109" i="9"/>
  <c r="AQ110" i="9"/>
  <c r="AQ111" i="9"/>
  <c r="AQ113" i="9"/>
  <c r="AQ114" i="9"/>
  <c r="AQ115" i="9"/>
  <c r="AQ116" i="9"/>
  <c r="AQ117" i="9"/>
  <c r="AQ106" i="9"/>
  <c r="AP107" i="9"/>
  <c r="AP108" i="9"/>
  <c r="AP109" i="9"/>
  <c r="AP110" i="9"/>
  <c r="AP112" i="9"/>
  <c r="AP113" i="9"/>
  <c r="AP114" i="9"/>
  <c r="AP115" i="9"/>
  <c r="AP116" i="9"/>
  <c r="AP117" i="9"/>
  <c r="AO107" i="9"/>
  <c r="AO108" i="9"/>
  <c r="AO109" i="9"/>
  <c r="AO111" i="9"/>
  <c r="AO112" i="9"/>
  <c r="AO113" i="9"/>
  <c r="AO114" i="9"/>
  <c r="AO115" i="9"/>
  <c r="AO116" i="9"/>
  <c r="AO117" i="9"/>
  <c r="AO106" i="9"/>
  <c r="AP106" i="9"/>
  <c r="AN107" i="9"/>
  <c r="AN108" i="9"/>
  <c r="AN110" i="9"/>
  <c r="AN111" i="9"/>
  <c r="AN112" i="9"/>
  <c r="AN113" i="9"/>
  <c r="AN114" i="9"/>
  <c r="AN115" i="9"/>
  <c r="AN116" i="9"/>
  <c r="AN117" i="9"/>
  <c r="AN106" i="9"/>
  <c r="AM107" i="9"/>
  <c r="AM109" i="9"/>
  <c r="AM110" i="9"/>
  <c r="AM111" i="9"/>
  <c r="AM112" i="9"/>
  <c r="AM113" i="9"/>
  <c r="AM114" i="9"/>
  <c r="AM115" i="9"/>
  <c r="AM116" i="9"/>
  <c r="AM117" i="9"/>
  <c r="AM106" i="9"/>
  <c r="AL108" i="9"/>
  <c r="AL109" i="9"/>
  <c r="AL110" i="9"/>
  <c r="AL111" i="9"/>
  <c r="AL112" i="9"/>
  <c r="AL113" i="9"/>
  <c r="AL114" i="9"/>
  <c r="AL115" i="9"/>
  <c r="AL116" i="9"/>
  <c r="AL117" i="9"/>
  <c r="AL106" i="9"/>
  <c r="AK107" i="9"/>
  <c r="AK108" i="9"/>
  <c r="AK109" i="9"/>
  <c r="AK110" i="9"/>
  <c r="AK111" i="9"/>
  <c r="AK112" i="9"/>
  <c r="AK113" i="9"/>
  <c r="AK114" i="9"/>
  <c r="AK115" i="9"/>
  <c r="AK116" i="9"/>
  <c r="AK117" i="9"/>
  <c r="AJ107" i="9"/>
  <c r="AJ108" i="9"/>
  <c r="AJ109" i="9"/>
  <c r="AJ110" i="9"/>
  <c r="AJ111" i="9"/>
  <c r="AJ112" i="9"/>
  <c r="AJ113" i="9"/>
  <c r="AJ114" i="9"/>
  <c r="AJ115" i="9"/>
  <c r="AJ116" i="9"/>
  <c r="AJ106" i="9"/>
  <c r="AI107" i="9"/>
  <c r="AI108" i="9"/>
  <c r="AI109" i="9"/>
  <c r="AI110" i="9"/>
  <c r="AI111" i="9"/>
  <c r="AI112" i="9"/>
  <c r="AI113" i="9"/>
  <c r="AI114" i="9"/>
  <c r="AI115" i="9"/>
  <c r="AI117" i="9"/>
  <c r="AI106" i="9"/>
  <c r="AH107" i="9"/>
  <c r="AH108" i="9"/>
  <c r="AH109" i="9"/>
  <c r="AH110" i="9"/>
  <c r="AH111" i="9"/>
  <c r="AH112" i="9"/>
  <c r="AH113" i="9"/>
  <c r="AH114" i="9"/>
  <c r="AH116" i="9"/>
  <c r="AH117" i="9"/>
  <c r="AH106" i="9"/>
  <c r="AG107" i="9"/>
  <c r="AG108" i="9"/>
  <c r="AG109" i="9"/>
  <c r="AG110" i="9"/>
  <c r="AG111" i="9"/>
  <c r="AG112" i="9"/>
  <c r="AG113" i="9"/>
  <c r="AG115" i="9"/>
  <c r="AG116" i="9"/>
  <c r="AG117" i="9"/>
  <c r="AG106" i="9"/>
  <c r="AF107" i="9"/>
  <c r="AF108" i="9"/>
  <c r="AF109" i="9"/>
  <c r="AF110" i="9"/>
  <c r="AF111" i="9"/>
  <c r="AF112" i="9"/>
  <c r="AF114" i="9"/>
  <c r="AF115" i="9"/>
  <c r="AF116" i="9"/>
  <c r="AF117" i="9"/>
  <c r="AF106" i="9"/>
  <c r="AE107" i="9"/>
  <c r="AE108" i="9"/>
  <c r="AE109" i="9"/>
  <c r="AE110" i="9"/>
  <c r="AE111" i="9"/>
  <c r="AE113" i="9"/>
  <c r="AE114" i="9"/>
  <c r="AE115" i="9"/>
  <c r="AE116" i="9"/>
  <c r="AE117" i="9"/>
  <c r="AE106" i="9"/>
  <c r="AD107" i="9"/>
  <c r="AD108" i="9"/>
  <c r="AD109" i="9"/>
  <c r="AD110" i="9"/>
  <c r="AD112" i="9"/>
  <c r="AD113" i="9"/>
  <c r="AD114" i="9"/>
  <c r="AD115" i="9"/>
  <c r="AD116" i="9"/>
  <c r="AD117" i="9"/>
  <c r="AD106" i="9"/>
  <c r="AC107" i="9"/>
  <c r="AC108" i="9"/>
  <c r="AC109" i="9"/>
  <c r="AC111" i="9"/>
  <c r="AC112" i="9"/>
  <c r="AC113" i="9"/>
  <c r="AC114" i="9"/>
  <c r="AC115" i="9"/>
  <c r="AC116" i="9"/>
  <c r="AC117" i="9"/>
  <c r="AC106" i="9"/>
  <c r="AB107" i="9"/>
  <c r="AB108" i="9"/>
  <c r="AB110" i="9"/>
  <c r="AB111" i="9"/>
  <c r="AB112" i="9"/>
  <c r="AB113" i="9"/>
  <c r="AB114" i="9"/>
  <c r="AB115" i="9"/>
  <c r="AB116" i="9"/>
  <c r="AB117" i="9"/>
  <c r="AB106" i="9"/>
  <c r="AA107" i="9"/>
  <c r="AA109" i="9"/>
  <c r="AA110" i="9"/>
  <c r="AA111" i="9"/>
  <c r="AA112" i="9"/>
  <c r="AA113" i="9"/>
  <c r="AA114" i="9"/>
  <c r="AA115" i="9"/>
  <c r="AA116" i="9"/>
  <c r="AA117" i="9"/>
  <c r="Z108" i="9"/>
  <c r="Z109" i="9"/>
  <c r="Z110" i="9"/>
  <c r="Z111" i="9"/>
  <c r="Z112" i="9"/>
  <c r="Z113" i="9"/>
  <c r="Z114" i="9"/>
  <c r="Z115" i="9"/>
  <c r="Z116" i="9"/>
  <c r="Z117" i="9"/>
  <c r="Y115" i="9"/>
  <c r="Y107" i="9"/>
  <c r="Y108" i="9"/>
  <c r="Y109" i="9"/>
  <c r="Y110" i="9"/>
  <c r="Y111" i="9"/>
  <c r="Y112" i="9"/>
  <c r="Y113" i="9"/>
  <c r="Y114" i="9"/>
  <c r="Y116" i="9"/>
  <c r="Y117" i="9"/>
  <c r="P15" i="15" l="1"/>
  <c r="Q15" i="15"/>
  <c r="Q11" i="15"/>
  <c r="P11" i="15"/>
  <c r="P16" i="15"/>
  <c r="Q16" i="15"/>
  <c r="P20" i="15"/>
  <c r="Q20" i="15"/>
  <c r="P13" i="15"/>
  <c r="Q13" i="15"/>
  <c r="P46" i="15"/>
  <c r="Q46" i="15"/>
  <c r="P17" i="15"/>
  <c r="Q17" i="15"/>
  <c r="P18" i="15"/>
  <c r="Q18" i="15"/>
  <c r="Q19" i="15"/>
  <c r="P19" i="15"/>
  <c r="P14" i="15"/>
  <c r="Q14" i="15"/>
  <c r="P21" i="15"/>
  <c r="Q21" i="15"/>
  <c r="J22" i="15"/>
  <c r="S22" i="15" s="1"/>
  <c r="D50" i="15"/>
  <c r="T11" i="15"/>
  <c r="U11" i="15"/>
  <c r="V11" i="15"/>
  <c r="N11" i="15"/>
  <c r="W11" i="15"/>
  <c r="O11" i="15"/>
  <c r="S11" i="15"/>
  <c r="M11" i="15"/>
  <c r="R11" i="15"/>
  <c r="W16" i="15"/>
  <c r="O16" i="15"/>
  <c r="R16" i="15"/>
  <c r="T16" i="15"/>
  <c r="U16" i="15"/>
  <c r="S16" i="15"/>
  <c r="V16" i="15"/>
  <c r="N16" i="15"/>
  <c r="M16" i="15"/>
  <c r="S20" i="15"/>
  <c r="U20" i="15"/>
  <c r="M20" i="15"/>
  <c r="V20" i="15"/>
  <c r="N20" i="15"/>
  <c r="W20" i="15"/>
  <c r="O20" i="15"/>
  <c r="R20" i="15"/>
  <c r="T20" i="15"/>
  <c r="R13" i="15"/>
  <c r="T13" i="15"/>
  <c r="O13" i="15"/>
  <c r="U13" i="15"/>
  <c r="M13" i="15"/>
  <c r="V13" i="15"/>
  <c r="N13" i="15"/>
  <c r="W13" i="15"/>
  <c r="S13" i="15"/>
  <c r="T22" i="15"/>
  <c r="R46" i="15"/>
  <c r="S46" i="15"/>
  <c r="N46" i="15"/>
  <c r="T46" i="15"/>
  <c r="U46" i="15"/>
  <c r="M46" i="15"/>
  <c r="V46" i="15"/>
  <c r="W46" i="15"/>
  <c r="O46" i="15"/>
  <c r="V17" i="15"/>
  <c r="N17" i="15"/>
  <c r="O17" i="15"/>
  <c r="S17" i="15"/>
  <c r="R17" i="15"/>
  <c r="U17" i="15"/>
  <c r="M17" i="15"/>
  <c r="W17" i="15"/>
  <c r="T17" i="15"/>
  <c r="R15" i="15"/>
  <c r="S15" i="15"/>
  <c r="U15" i="15"/>
  <c r="M15" i="15"/>
  <c r="T15" i="15"/>
  <c r="V15" i="15"/>
  <c r="W15" i="15"/>
  <c r="O15" i="15"/>
  <c r="N15" i="15"/>
  <c r="U18" i="15"/>
  <c r="M18" i="15"/>
  <c r="W18" i="15"/>
  <c r="O18" i="15"/>
  <c r="R18" i="15"/>
  <c r="T18" i="15"/>
  <c r="V18" i="15"/>
  <c r="N18" i="15"/>
  <c r="S18" i="15"/>
  <c r="T19" i="15"/>
  <c r="M19" i="15"/>
  <c r="V19" i="15"/>
  <c r="N19" i="15"/>
  <c r="W19" i="15"/>
  <c r="O19" i="15"/>
  <c r="S19" i="15"/>
  <c r="U19" i="15"/>
  <c r="R19" i="15"/>
  <c r="R14" i="15"/>
  <c r="S14" i="15"/>
  <c r="W14" i="15"/>
  <c r="T14" i="15"/>
  <c r="U14" i="15"/>
  <c r="M14" i="15"/>
  <c r="V14" i="15"/>
  <c r="N14" i="15"/>
  <c r="O14" i="15"/>
  <c r="R21" i="15"/>
  <c r="S21" i="15"/>
  <c r="T21" i="15"/>
  <c r="U21" i="15"/>
  <c r="M21" i="15"/>
  <c r="W21" i="15"/>
  <c r="O21" i="15"/>
  <c r="V21" i="15"/>
  <c r="N21" i="15"/>
  <c r="K20" i="15"/>
  <c r="K17" i="15"/>
  <c r="K14" i="15"/>
  <c r="K11" i="15"/>
  <c r="K13" i="15"/>
  <c r="K12" i="15"/>
  <c r="K46" i="15"/>
  <c r="K18" i="15"/>
  <c r="K15" i="15"/>
  <c r="K16" i="15"/>
  <c r="K19" i="15"/>
  <c r="K21" i="15"/>
  <c r="X46" i="15"/>
  <c r="X21" i="15"/>
  <c r="X18" i="15"/>
  <c r="X14" i="15"/>
  <c r="X15" i="15"/>
  <c r="X16" i="15"/>
  <c r="X19" i="15"/>
  <c r="X13" i="15"/>
  <c r="X12" i="15"/>
  <c r="X20" i="15"/>
  <c r="X17" i="15"/>
  <c r="X11" i="15"/>
  <c r="G23" i="15"/>
  <c r="J23" i="15" s="1"/>
  <c r="F24" i="15"/>
  <c r="H43" i="25"/>
  <c r="B59" i="9"/>
  <c r="B60" i="9"/>
  <c r="P23" i="15" l="1"/>
  <c r="Q23" i="15"/>
  <c r="U22" i="15"/>
  <c r="N22" i="15"/>
  <c r="X22" i="15"/>
  <c r="O22" i="15"/>
  <c r="P22" i="15"/>
  <c r="Q22" i="15"/>
  <c r="K22" i="15"/>
  <c r="R22" i="15"/>
  <c r="W22" i="15"/>
  <c r="V22" i="15"/>
  <c r="M22" i="15"/>
  <c r="R23" i="15"/>
  <c r="V23" i="15"/>
  <c r="S23" i="15"/>
  <c r="T23" i="15"/>
  <c r="U23" i="15"/>
  <c r="M23" i="15"/>
  <c r="W23" i="15"/>
  <c r="O23" i="15"/>
  <c r="N23" i="15"/>
  <c r="K23" i="15"/>
  <c r="X23" i="15"/>
  <c r="G24" i="15"/>
  <c r="J24" i="15" s="1"/>
  <c r="F25" i="15"/>
  <c r="Y60" i="9"/>
  <c r="X60" i="9"/>
  <c r="W60" i="9"/>
  <c r="V60" i="9"/>
  <c r="Y59" i="9"/>
  <c r="X59" i="9"/>
  <c r="W59" i="9"/>
  <c r="V59" i="9"/>
  <c r="Y58" i="9"/>
  <c r="X58" i="9"/>
  <c r="W58" i="9"/>
  <c r="V58" i="9"/>
  <c r="Y57" i="9"/>
  <c r="X57" i="9"/>
  <c r="W57" i="9"/>
  <c r="V57" i="9"/>
  <c r="Y56" i="9"/>
  <c r="X56" i="9"/>
  <c r="W56" i="9"/>
  <c r="V56" i="9"/>
  <c r="Y55" i="9"/>
  <c r="X55" i="9"/>
  <c r="W55" i="9"/>
  <c r="V55" i="9"/>
  <c r="Y54" i="9"/>
  <c r="X54" i="9"/>
  <c r="W54" i="9"/>
  <c r="V54" i="9"/>
  <c r="Y53" i="9"/>
  <c r="X53" i="9"/>
  <c r="W53" i="9"/>
  <c r="V53" i="9"/>
  <c r="Y52" i="9"/>
  <c r="X52" i="9"/>
  <c r="W52" i="9"/>
  <c r="V52" i="9"/>
  <c r="Y51" i="9"/>
  <c r="X51" i="9"/>
  <c r="W51" i="9"/>
  <c r="V51" i="9"/>
  <c r="Y50" i="9"/>
  <c r="X50" i="9"/>
  <c r="W50" i="9"/>
  <c r="V50" i="9"/>
  <c r="Y49" i="9"/>
  <c r="X49" i="9"/>
  <c r="W49" i="9"/>
  <c r="V49" i="9"/>
  <c r="U59" i="9"/>
  <c r="U60" i="9"/>
  <c r="T59" i="9"/>
  <c r="T60" i="9"/>
  <c r="S59" i="9"/>
  <c r="S60" i="9"/>
  <c r="R59" i="9"/>
  <c r="R60" i="9"/>
  <c r="Q59" i="9"/>
  <c r="Q60" i="9"/>
  <c r="P59" i="9"/>
  <c r="P60" i="9"/>
  <c r="O59" i="9"/>
  <c r="O60" i="9"/>
  <c r="N59" i="9"/>
  <c r="N60" i="9"/>
  <c r="L59" i="9"/>
  <c r="L60" i="9"/>
  <c r="K59" i="9"/>
  <c r="K60" i="9"/>
  <c r="J59" i="9"/>
  <c r="J60" i="9"/>
  <c r="I59" i="9"/>
  <c r="I60" i="9"/>
  <c r="H59" i="9"/>
  <c r="H60" i="9"/>
  <c r="G59" i="9"/>
  <c r="G60" i="9"/>
  <c r="F59" i="9"/>
  <c r="F60" i="9"/>
  <c r="E59" i="9"/>
  <c r="E60" i="9"/>
  <c r="C59" i="9"/>
  <c r="C60" i="9"/>
  <c r="Y39" i="9"/>
  <c r="X39" i="9"/>
  <c r="W39" i="9"/>
  <c r="V39" i="9"/>
  <c r="Y38" i="9"/>
  <c r="X38" i="9"/>
  <c r="W38" i="9"/>
  <c r="V38" i="9"/>
  <c r="Y37" i="9"/>
  <c r="X37" i="9"/>
  <c r="W37" i="9"/>
  <c r="V37" i="9"/>
  <c r="Y36" i="9"/>
  <c r="X36" i="9"/>
  <c r="W36" i="9"/>
  <c r="V36" i="9"/>
  <c r="Y35" i="9"/>
  <c r="X35" i="9"/>
  <c r="W35" i="9"/>
  <c r="V35" i="9"/>
  <c r="Y34" i="9"/>
  <c r="X34" i="9"/>
  <c r="W34" i="9"/>
  <c r="V34" i="9"/>
  <c r="Y33" i="9"/>
  <c r="X33" i="9"/>
  <c r="W33" i="9"/>
  <c r="V33" i="9"/>
  <c r="Y32" i="9"/>
  <c r="X32" i="9"/>
  <c r="W32" i="9"/>
  <c r="V32" i="9"/>
  <c r="Y31" i="9"/>
  <c r="X31" i="9"/>
  <c r="W31" i="9"/>
  <c r="V31" i="9"/>
  <c r="Y30" i="9"/>
  <c r="X30" i="9"/>
  <c r="W30" i="9"/>
  <c r="V30" i="9"/>
  <c r="Y29" i="9"/>
  <c r="X29" i="9"/>
  <c r="W29" i="9"/>
  <c r="V29" i="9"/>
  <c r="Y28" i="9"/>
  <c r="X28" i="9"/>
  <c r="W28" i="9"/>
  <c r="V28" i="9"/>
  <c r="U29" i="9"/>
  <c r="U30" i="9"/>
  <c r="U31" i="9"/>
  <c r="U32" i="9"/>
  <c r="U33" i="9"/>
  <c r="U34" i="9"/>
  <c r="U35" i="9"/>
  <c r="U36" i="9"/>
  <c r="U37" i="9"/>
  <c r="U38" i="9"/>
  <c r="U39" i="9"/>
  <c r="T29" i="9"/>
  <c r="T30" i="9"/>
  <c r="T31" i="9"/>
  <c r="T32" i="9"/>
  <c r="T33" i="9"/>
  <c r="T34" i="9"/>
  <c r="T35" i="9"/>
  <c r="T36" i="9"/>
  <c r="T37" i="9"/>
  <c r="T38" i="9"/>
  <c r="T39" i="9"/>
  <c r="S29" i="9"/>
  <c r="S30" i="9"/>
  <c r="S31" i="9"/>
  <c r="S32" i="9"/>
  <c r="S33" i="9"/>
  <c r="S34" i="9"/>
  <c r="S35" i="9"/>
  <c r="S36" i="9"/>
  <c r="S37" i="9"/>
  <c r="S38" i="9"/>
  <c r="S39" i="9"/>
  <c r="R29" i="9"/>
  <c r="R30" i="9"/>
  <c r="R31" i="9"/>
  <c r="R32" i="9"/>
  <c r="R33" i="9"/>
  <c r="R35" i="9"/>
  <c r="R36" i="9"/>
  <c r="R37" i="9"/>
  <c r="R38" i="9"/>
  <c r="R39" i="9"/>
  <c r="Q29" i="9"/>
  <c r="Q30" i="9"/>
  <c r="Q31" i="9"/>
  <c r="Q32" i="9"/>
  <c r="Q33" i="9"/>
  <c r="Q34" i="9"/>
  <c r="Q35" i="9"/>
  <c r="Q36" i="9"/>
  <c r="Q37" i="9"/>
  <c r="Q38" i="9"/>
  <c r="Q39" i="9"/>
  <c r="P29" i="9"/>
  <c r="P30" i="9"/>
  <c r="P31" i="9"/>
  <c r="P32" i="9"/>
  <c r="P33" i="9"/>
  <c r="P34" i="9"/>
  <c r="P35" i="9"/>
  <c r="P36" i="9"/>
  <c r="P37" i="9"/>
  <c r="P38" i="9"/>
  <c r="P39" i="9"/>
  <c r="O29" i="9"/>
  <c r="O30" i="9"/>
  <c r="O31" i="9"/>
  <c r="O32" i="9"/>
  <c r="O33" i="9"/>
  <c r="O34" i="9"/>
  <c r="O35" i="9"/>
  <c r="O36" i="9"/>
  <c r="O37" i="9"/>
  <c r="O38" i="9"/>
  <c r="O39" i="9"/>
  <c r="N30" i="9"/>
  <c r="N31" i="9"/>
  <c r="N32" i="9"/>
  <c r="N33" i="9"/>
  <c r="N34" i="9"/>
  <c r="N35" i="9"/>
  <c r="N36" i="9"/>
  <c r="N37" i="9"/>
  <c r="N38" i="9"/>
  <c r="N39" i="9"/>
  <c r="L29" i="9"/>
  <c r="L30" i="9"/>
  <c r="L31" i="9"/>
  <c r="L32" i="9"/>
  <c r="L33" i="9"/>
  <c r="L34" i="9"/>
  <c r="L35" i="9"/>
  <c r="L36" i="9"/>
  <c r="L37" i="9"/>
  <c r="L38" i="9"/>
  <c r="L39" i="9"/>
  <c r="K30" i="9"/>
  <c r="K31" i="9"/>
  <c r="K32" i="9"/>
  <c r="K33" i="9"/>
  <c r="K34" i="9"/>
  <c r="K35" i="9"/>
  <c r="K36" i="9"/>
  <c r="K37" i="9"/>
  <c r="K38" i="9"/>
  <c r="K39" i="9"/>
  <c r="J29" i="9"/>
  <c r="J31" i="9"/>
  <c r="J32" i="9"/>
  <c r="J33" i="9"/>
  <c r="J34" i="9"/>
  <c r="J35" i="9"/>
  <c r="J36" i="9"/>
  <c r="J37" i="9"/>
  <c r="J38" i="9"/>
  <c r="J39" i="9"/>
  <c r="I29" i="9"/>
  <c r="I30" i="9"/>
  <c r="I32" i="9"/>
  <c r="I33" i="9"/>
  <c r="I34" i="9"/>
  <c r="I35" i="9"/>
  <c r="I36" i="9"/>
  <c r="I37" i="9"/>
  <c r="I38" i="9"/>
  <c r="I39" i="9"/>
  <c r="H29" i="9"/>
  <c r="H30" i="9"/>
  <c r="H31" i="9"/>
  <c r="H32" i="9"/>
  <c r="H33" i="9"/>
  <c r="H34" i="9"/>
  <c r="H35" i="9"/>
  <c r="H36" i="9"/>
  <c r="H37" i="9"/>
  <c r="H38" i="9"/>
  <c r="H39" i="9"/>
  <c r="G29" i="9"/>
  <c r="G31" i="9"/>
  <c r="G32" i="9"/>
  <c r="G33" i="9"/>
  <c r="G34" i="9"/>
  <c r="G35" i="9"/>
  <c r="G36" i="9"/>
  <c r="G37" i="9"/>
  <c r="G38" i="9"/>
  <c r="G39" i="9"/>
  <c r="F32" i="9"/>
  <c r="F33" i="9"/>
  <c r="F34" i="9"/>
  <c r="F35" i="9"/>
  <c r="F36" i="9"/>
  <c r="F37" i="9"/>
  <c r="F38" i="9"/>
  <c r="F39" i="9"/>
  <c r="E31" i="9"/>
  <c r="E32" i="9"/>
  <c r="E33" i="9"/>
  <c r="E34" i="9"/>
  <c r="E35" i="9"/>
  <c r="E36" i="9"/>
  <c r="E37" i="9"/>
  <c r="E38" i="9"/>
  <c r="E39" i="9"/>
  <c r="C29" i="9"/>
  <c r="C30" i="9"/>
  <c r="C31" i="9"/>
  <c r="C32" i="9"/>
  <c r="C35" i="9"/>
  <c r="C36" i="9"/>
  <c r="C37" i="9"/>
  <c r="C38" i="9"/>
  <c r="C39" i="9"/>
  <c r="B38" i="9"/>
  <c r="B39" i="9"/>
  <c r="P24" i="15" l="1"/>
  <c r="Q24" i="15"/>
  <c r="W24" i="15"/>
  <c r="O24" i="15"/>
  <c r="U24" i="15"/>
  <c r="R24" i="15"/>
  <c r="S24" i="15"/>
  <c r="T24" i="15"/>
  <c r="V24" i="15"/>
  <c r="N24" i="15"/>
  <c r="M24" i="15"/>
  <c r="K24" i="15"/>
  <c r="X24" i="15"/>
  <c r="G25" i="15"/>
  <c r="J25" i="15" s="1"/>
  <c r="F26" i="15"/>
  <c r="G26" i="15" s="1"/>
  <c r="J26" i="15" s="1"/>
  <c r="X61" i="9"/>
  <c r="Y61" i="9"/>
  <c r="W61" i="9"/>
  <c r="I20" i="12"/>
  <c r="D59" i="9" s="1"/>
  <c r="D60" i="9"/>
  <c r="Y40" i="9"/>
  <c r="W40" i="9"/>
  <c r="X40" i="9"/>
  <c r="M60" i="9"/>
  <c r="V62" i="9"/>
  <c r="AB59" i="9" s="1"/>
  <c r="X62" i="9"/>
  <c r="AB60" i="9" s="1"/>
  <c r="V61" i="9"/>
  <c r="V41" i="9"/>
  <c r="AB38" i="9" s="1"/>
  <c r="X41" i="9"/>
  <c r="AB39" i="9" s="1"/>
  <c r="V40" i="9"/>
  <c r="P26" i="15" l="1"/>
  <c r="Q26" i="15"/>
  <c r="Q25" i="15"/>
  <c r="P25" i="15"/>
  <c r="U26" i="15"/>
  <c r="M26" i="15"/>
  <c r="N26" i="15"/>
  <c r="W26" i="15"/>
  <c r="O26" i="15"/>
  <c r="R26" i="15"/>
  <c r="T26" i="15"/>
  <c r="V26" i="15"/>
  <c r="S26" i="15"/>
  <c r="V25" i="15"/>
  <c r="N25" i="15"/>
  <c r="R25" i="15"/>
  <c r="S25" i="15"/>
  <c r="U25" i="15"/>
  <c r="M25" i="15"/>
  <c r="W25" i="15"/>
  <c r="O25" i="15"/>
  <c r="T25" i="15"/>
  <c r="K26" i="15"/>
  <c r="K25" i="15"/>
  <c r="X26" i="15"/>
  <c r="X25" i="15"/>
  <c r="F27" i="15"/>
  <c r="M59" i="9"/>
  <c r="S51" i="9"/>
  <c r="S52" i="9"/>
  <c r="S53" i="9"/>
  <c r="S54" i="9"/>
  <c r="S55" i="9"/>
  <c r="S56" i="9"/>
  <c r="S57" i="9"/>
  <c r="S58" i="9"/>
  <c r="U50" i="9"/>
  <c r="U51" i="9"/>
  <c r="U52" i="9"/>
  <c r="U53" i="9"/>
  <c r="U54" i="9"/>
  <c r="U55" i="9"/>
  <c r="U56" i="9"/>
  <c r="U57" i="9"/>
  <c r="U58" i="9"/>
  <c r="T50" i="9"/>
  <c r="T51" i="9"/>
  <c r="T52" i="9"/>
  <c r="T53" i="9"/>
  <c r="T54" i="9"/>
  <c r="T55" i="9"/>
  <c r="T56" i="9"/>
  <c r="T57" i="9"/>
  <c r="T49" i="9"/>
  <c r="R49" i="9"/>
  <c r="Q50" i="9"/>
  <c r="Q52" i="9"/>
  <c r="Q53" i="9"/>
  <c r="Q54" i="9"/>
  <c r="Q55" i="9"/>
  <c r="Q56" i="9"/>
  <c r="Q57" i="9"/>
  <c r="Q58" i="9"/>
  <c r="Q49" i="9"/>
  <c r="P49" i="9"/>
  <c r="O50" i="9"/>
  <c r="O51" i="9"/>
  <c r="O53" i="9"/>
  <c r="O54" i="9"/>
  <c r="O55" i="9"/>
  <c r="O56" i="9"/>
  <c r="O57" i="9"/>
  <c r="O58" i="9"/>
  <c r="O49" i="9"/>
  <c r="L49" i="9"/>
  <c r="K51" i="9"/>
  <c r="K52" i="9"/>
  <c r="K53" i="9"/>
  <c r="K55" i="9"/>
  <c r="K56" i="9"/>
  <c r="K57" i="9"/>
  <c r="K58" i="9"/>
  <c r="K49" i="9"/>
  <c r="J50" i="9"/>
  <c r="J52" i="9"/>
  <c r="J54" i="9"/>
  <c r="J55" i="9"/>
  <c r="J56" i="9"/>
  <c r="J57" i="9"/>
  <c r="J58" i="9"/>
  <c r="J49" i="9"/>
  <c r="I50" i="9"/>
  <c r="I51" i="9"/>
  <c r="I53" i="9"/>
  <c r="I54" i="9"/>
  <c r="I56" i="9"/>
  <c r="I57" i="9"/>
  <c r="I58" i="9"/>
  <c r="I49" i="9"/>
  <c r="H50" i="9"/>
  <c r="H51" i="9"/>
  <c r="H53" i="9"/>
  <c r="H54" i="9"/>
  <c r="H55" i="9"/>
  <c r="H56" i="9"/>
  <c r="H57" i="9"/>
  <c r="H58" i="9"/>
  <c r="H49" i="9"/>
  <c r="G50" i="9"/>
  <c r="G52" i="9"/>
  <c r="G53" i="9"/>
  <c r="G54" i="9"/>
  <c r="G55" i="9"/>
  <c r="G57" i="9"/>
  <c r="G58" i="9"/>
  <c r="G49" i="9"/>
  <c r="F49" i="9"/>
  <c r="E52" i="9"/>
  <c r="E53" i="9"/>
  <c r="E54" i="9"/>
  <c r="E55" i="9"/>
  <c r="E56" i="9"/>
  <c r="E58" i="9"/>
  <c r="C50" i="9"/>
  <c r="C51" i="9"/>
  <c r="C52" i="9"/>
  <c r="C53" i="9"/>
  <c r="C56" i="9"/>
  <c r="C57" i="9"/>
  <c r="C49" i="9"/>
  <c r="T28" i="9"/>
  <c r="R28" i="9"/>
  <c r="Q28" i="9"/>
  <c r="P28" i="9"/>
  <c r="O28" i="9"/>
  <c r="K28" i="9"/>
  <c r="I28" i="9"/>
  <c r="G28" i="9"/>
  <c r="C28" i="9"/>
  <c r="L28" i="9"/>
  <c r="J28" i="9"/>
  <c r="H28" i="9"/>
  <c r="F28" i="9"/>
  <c r="G27" i="15" l="1"/>
  <c r="F28" i="15"/>
  <c r="F50" i="15" s="1"/>
  <c r="AA108" i="9"/>
  <c r="AB109" i="9"/>
  <c r="L50" i="9"/>
  <c r="P50" i="9"/>
  <c r="R50" i="9"/>
  <c r="L51" i="9"/>
  <c r="N51" i="9"/>
  <c r="P51" i="9"/>
  <c r="R51" i="9"/>
  <c r="L52" i="9"/>
  <c r="N52" i="9"/>
  <c r="P52" i="9"/>
  <c r="R52" i="9"/>
  <c r="F53" i="9"/>
  <c r="L53" i="9"/>
  <c r="N53" i="9"/>
  <c r="P53" i="9"/>
  <c r="R53" i="9"/>
  <c r="F54" i="9"/>
  <c r="N54" i="9"/>
  <c r="P54" i="9"/>
  <c r="R54" i="9"/>
  <c r="F55" i="9"/>
  <c r="L55" i="9"/>
  <c r="P55" i="9"/>
  <c r="F56" i="9"/>
  <c r="L56" i="9"/>
  <c r="N56" i="9"/>
  <c r="R56" i="9"/>
  <c r="F57" i="9"/>
  <c r="L57" i="9"/>
  <c r="N57" i="9"/>
  <c r="P57" i="9"/>
  <c r="F58" i="9"/>
  <c r="L58" i="9"/>
  <c r="N58" i="9"/>
  <c r="P58" i="9"/>
  <c r="R58" i="9"/>
  <c r="DI110" i="9"/>
  <c r="K46" i="4"/>
  <c r="J46" i="4"/>
  <c r="DE116" i="9" s="1"/>
  <c r="I46" i="4"/>
  <c r="H46" i="4"/>
  <c r="G46" i="4"/>
  <c r="CY107" i="9" s="1"/>
  <c r="F46" i="4"/>
  <c r="E46" i="4"/>
  <c r="D46" i="4"/>
  <c r="W118" i="9" s="1"/>
  <c r="EN106" i="9"/>
  <c r="EL106" i="9"/>
  <c r="EF106" i="9"/>
  <c r="EG117" i="9"/>
  <c r="DZ106" i="9"/>
  <c r="C47" i="6"/>
  <c r="J27" i="15" l="1"/>
  <c r="W27" i="15"/>
  <c r="O27" i="15"/>
  <c r="S27" i="15"/>
  <c r="U27" i="15"/>
  <c r="M27" i="15"/>
  <c r="R27" i="15"/>
  <c r="X27" i="15"/>
  <c r="DW108" i="9"/>
  <c r="DV107" i="9"/>
  <c r="CS106" i="9"/>
  <c r="CT106" i="9"/>
  <c r="CU106" i="9"/>
  <c r="CV106" i="9"/>
  <c r="CU109" i="9"/>
  <c r="G28" i="15"/>
  <c r="J28" i="15" s="1"/>
  <c r="DG108" i="9"/>
  <c r="DG109" i="9"/>
  <c r="DC115" i="9"/>
  <c r="DC107" i="9"/>
  <c r="DA114" i="9"/>
  <c r="DA107" i="9"/>
  <c r="EJ109" i="9"/>
  <c r="EJ106" i="9"/>
  <c r="EB110" i="9"/>
  <c r="EB106" i="9"/>
  <c r="DX110" i="9"/>
  <c r="DX106" i="9"/>
  <c r="ED106" i="9"/>
  <c r="ED110" i="9"/>
  <c r="EN107" i="9"/>
  <c r="EN111" i="9"/>
  <c r="EF107" i="9"/>
  <c r="EH108" i="9"/>
  <c r="CX108" i="9"/>
  <c r="CW107" i="9"/>
  <c r="EB113" i="9"/>
  <c r="EB107" i="9"/>
  <c r="DX113" i="9"/>
  <c r="DX107" i="9"/>
  <c r="CT108" i="9"/>
  <c r="CS109" i="9"/>
  <c r="CU111" i="9"/>
  <c r="CV108" i="9"/>
  <c r="DW110" i="9"/>
  <c r="DV109" i="9"/>
  <c r="EA110" i="9"/>
  <c r="DZ109" i="9"/>
  <c r="I10" i="12"/>
  <c r="E49" i="9" s="1"/>
  <c r="E10" i="12"/>
  <c r="I18" i="12"/>
  <c r="B57" i="9" s="1"/>
  <c r="I16" i="12"/>
  <c r="I12" i="12"/>
  <c r="I19" i="12"/>
  <c r="I17" i="12"/>
  <c r="B56" i="9" s="1"/>
  <c r="I15" i="12"/>
  <c r="I13" i="12"/>
  <c r="I11" i="12"/>
  <c r="I14" i="12"/>
  <c r="IR106" i="9"/>
  <c r="IS107" i="9"/>
  <c r="CQ106" i="9"/>
  <c r="CR107" i="9"/>
  <c r="DV106" i="9"/>
  <c r="DW107" i="9"/>
  <c r="IT108" i="9"/>
  <c r="IU109" i="9"/>
  <c r="IX112" i="9"/>
  <c r="IY113" i="9"/>
  <c r="IV110" i="9"/>
  <c r="IW111" i="9"/>
  <c r="IZ114" i="9"/>
  <c r="JA115" i="9"/>
  <c r="DX108" i="9"/>
  <c r="DY109" i="9"/>
  <c r="EB112" i="9"/>
  <c r="EC113" i="9"/>
  <c r="EJ108" i="9"/>
  <c r="EK109" i="9"/>
  <c r="EN112" i="9"/>
  <c r="EO113" i="9"/>
  <c r="DZ110" i="9"/>
  <c r="EA111" i="9"/>
  <c r="ED114" i="9"/>
  <c r="EE115" i="9"/>
  <c r="EH106" i="9"/>
  <c r="EF116" i="9"/>
  <c r="EI107" i="9"/>
  <c r="EL110" i="9"/>
  <c r="EM111" i="9"/>
  <c r="CU110" i="9"/>
  <c r="CV111" i="9"/>
  <c r="CY114" i="9"/>
  <c r="CZ115" i="9"/>
  <c r="DC106" i="9"/>
  <c r="DD107" i="9"/>
  <c r="DG110" i="9"/>
  <c r="DH111" i="9"/>
  <c r="CT109" i="9"/>
  <c r="CS108" i="9"/>
  <c r="CW112" i="9"/>
  <c r="CX113" i="9"/>
  <c r="DA116" i="9"/>
  <c r="DB117" i="9"/>
  <c r="DE108" i="9"/>
  <c r="DF109" i="9"/>
  <c r="DI112" i="9"/>
  <c r="DJ113" i="9"/>
  <c r="AP111" i="9"/>
  <c r="AO110" i="9"/>
  <c r="AK106" i="9"/>
  <c r="AL107" i="9"/>
  <c r="AG114" i="9"/>
  <c r="AH115" i="9"/>
  <c r="AC110" i="9"/>
  <c r="AD111" i="9"/>
  <c r="Z107" i="9"/>
  <c r="AQ112" i="9"/>
  <c r="AR113" i="9"/>
  <c r="AM108" i="9"/>
  <c r="AN109" i="9"/>
  <c r="AI116" i="9"/>
  <c r="AJ117" i="9"/>
  <c r="AE112" i="9"/>
  <c r="AF113" i="9"/>
  <c r="T58" i="9"/>
  <c r="T61" i="9" s="1"/>
  <c r="P56" i="9"/>
  <c r="P61" i="9" s="1"/>
  <c r="G56" i="9"/>
  <c r="L54" i="9"/>
  <c r="L61" i="9" s="1"/>
  <c r="K54" i="9"/>
  <c r="N55" i="9"/>
  <c r="J53" i="9"/>
  <c r="S50" i="9"/>
  <c r="H52" i="9"/>
  <c r="O52" i="9"/>
  <c r="O61" i="9" s="1"/>
  <c r="Q51" i="9"/>
  <c r="Q61" i="9" s="1"/>
  <c r="R57" i="9"/>
  <c r="E57" i="9"/>
  <c r="C58" i="9"/>
  <c r="J50" i="15" l="1"/>
  <c r="P28" i="15"/>
  <c r="Q28" i="15"/>
  <c r="T27" i="15"/>
  <c r="Q27" i="15"/>
  <c r="P27" i="15"/>
  <c r="K27" i="15"/>
  <c r="N27" i="15"/>
  <c r="V27" i="15"/>
  <c r="G50" i="15"/>
  <c r="S28" i="15"/>
  <c r="S50" i="15" s="1"/>
  <c r="D61" i="15" s="1"/>
  <c r="E61" i="15" s="1"/>
  <c r="T28" i="15"/>
  <c r="T50" i="15" s="1"/>
  <c r="D60" i="15" s="1"/>
  <c r="E60" i="15" s="1"/>
  <c r="U28" i="15"/>
  <c r="U50" i="15" s="1"/>
  <c r="D59" i="15" s="1"/>
  <c r="E59" i="15" s="1"/>
  <c r="M28" i="15"/>
  <c r="M50" i="15" s="1"/>
  <c r="D67" i="15" s="1"/>
  <c r="E67" i="15" s="1"/>
  <c r="V28" i="15"/>
  <c r="N28" i="15"/>
  <c r="N50" i="15" s="1"/>
  <c r="D66" i="15" s="1"/>
  <c r="E66" i="15" s="1"/>
  <c r="W28" i="15"/>
  <c r="W50" i="15" s="1"/>
  <c r="D57" i="15" s="1"/>
  <c r="O28" i="15"/>
  <c r="O50" i="15" s="1"/>
  <c r="D65" i="15" s="1"/>
  <c r="E65" i="15" s="1"/>
  <c r="P50" i="15"/>
  <c r="D64" i="15" s="1"/>
  <c r="E64" i="15" s="1"/>
  <c r="R28" i="15"/>
  <c r="R50" i="15" s="1"/>
  <c r="D62" i="15" s="1"/>
  <c r="E62" i="15" s="1"/>
  <c r="Q50" i="15"/>
  <c r="D63" i="15" s="1"/>
  <c r="E63" i="15" s="1"/>
  <c r="K28" i="15"/>
  <c r="OI117" i="9"/>
  <c r="OI115" i="9"/>
  <c r="OI116" i="9"/>
  <c r="OI114" i="9"/>
  <c r="OI111" i="9"/>
  <c r="OI113" i="9"/>
  <c r="OI109" i="9"/>
  <c r="OI110" i="9"/>
  <c r="OI107" i="9"/>
  <c r="OI112" i="9"/>
  <c r="OI106" i="9"/>
  <c r="OI108" i="9"/>
  <c r="X28" i="15"/>
  <c r="X50" i="15" s="1"/>
  <c r="D56" i="15" s="1"/>
  <c r="F50" i="9"/>
  <c r="E50" i="9"/>
  <c r="B52" i="9"/>
  <c r="I52" i="9"/>
  <c r="F52" i="9"/>
  <c r="J51" i="9"/>
  <c r="J61" i="9" s="1"/>
  <c r="B51" i="9"/>
  <c r="E51" i="9"/>
  <c r="B54" i="9"/>
  <c r="C54" i="9"/>
  <c r="C55" i="9"/>
  <c r="R55" i="9"/>
  <c r="R61" i="9" s="1"/>
  <c r="B49" i="9"/>
  <c r="S49" i="9"/>
  <c r="S61" i="9" s="1"/>
  <c r="N50" i="9"/>
  <c r="B50" i="9"/>
  <c r="K50" i="9"/>
  <c r="F51" i="9"/>
  <c r="G51" i="9"/>
  <c r="G61" i="9" s="1"/>
  <c r="D55" i="9"/>
  <c r="B55" i="9"/>
  <c r="D53" i="9"/>
  <c r="B53" i="9"/>
  <c r="D58" i="9"/>
  <c r="B58" i="9"/>
  <c r="D49" i="9"/>
  <c r="N49" i="9"/>
  <c r="M58" i="9"/>
  <c r="M53" i="9"/>
  <c r="D57" i="9"/>
  <c r="M57" i="9"/>
  <c r="D56" i="9"/>
  <c r="M56" i="9"/>
  <c r="D54" i="9"/>
  <c r="M54" i="9"/>
  <c r="D52" i="9"/>
  <c r="M52" i="9"/>
  <c r="D51" i="9"/>
  <c r="M51" i="9"/>
  <c r="D50" i="9"/>
  <c r="M50" i="9"/>
  <c r="I55" i="9"/>
  <c r="M55" i="9"/>
  <c r="U49" i="9"/>
  <c r="M49" i="9"/>
  <c r="P62" i="9"/>
  <c r="AB56" i="9" s="1"/>
  <c r="H61" i="9"/>
  <c r="O40" i="9"/>
  <c r="Q40" i="9"/>
  <c r="U28" i="9"/>
  <c r="U40" i="9" s="1"/>
  <c r="V50" i="15" l="1"/>
  <c r="D58" i="15" s="1"/>
  <c r="E58" i="15" s="1"/>
  <c r="E56" i="15"/>
  <c r="D68" i="15"/>
  <c r="N61" i="9"/>
  <c r="E57" i="15"/>
  <c r="J62" i="9"/>
  <c r="AB53" i="9" s="1"/>
  <c r="E61" i="9"/>
  <c r="I61" i="9"/>
  <c r="F61" i="9"/>
  <c r="C61" i="9"/>
  <c r="R62" i="9"/>
  <c r="AB57" i="9" s="1"/>
  <c r="F62" i="9"/>
  <c r="AB51" i="9" s="1"/>
  <c r="K61" i="9"/>
  <c r="D62" i="9"/>
  <c r="AB50" i="9" s="1"/>
  <c r="B62" i="9"/>
  <c r="AB49" i="9" s="1"/>
  <c r="B61" i="9"/>
  <c r="N62" i="9"/>
  <c r="AB55" i="9" s="1"/>
  <c r="L62" i="9"/>
  <c r="AB54" i="9" s="1"/>
  <c r="M61" i="9"/>
  <c r="D61" i="9"/>
  <c r="H62" i="9"/>
  <c r="AB52" i="9" s="1"/>
  <c r="T62" i="9"/>
  <c r="AB58" i="9" s="1"/>
  <c r="U61" i="9"/>
  <c r="T40" i="9"/>
  <c r="T41" i="9"/>
  <c r="AB37" i="9" s="1"/>
  <c r="P40" i="9"/>
  <c r="P41" i="9"/>
  <c r="AB35" i="9" s="1"/>
  <c r="L40" i="9"/>
  <c r="H40" i="9"/>
  <c r="E68" i="15" l="1"/>
  <c r="AJ46" i="22"/>
  <c r="AJ47" i="22" s="1"/>
  <c r="B33" i="9"/>
  <c r="C33" i="9"/>
  <c r="B34" i="9"/>
  <c r="C34" i="9"/>
  <c r="R34" i="9"/>
  <c r="R40" i="9" s="1"/>
  <c r="F30" i="9"/>
  <c r="G30" i="9"/>
  <c r="G40" i="9" s="1"/>
  <c r="N29" i="9"/>
  <c r="K29" i="9"/>
  <c r="S28" i="9"/>
  <c r="M31" i="9"/>
  <c r="B31" i="9"/>
  <c r="D35" i="9"/>
  <c r="B35" i="9"/>
  <c r="D28" i="9"/>
  <c r="N28" i="9"/>
  <c r="D39" i="9"/>
  <c r="D31" i="9"/>
  <c r="M35" i="9"/>
  <c r="D37" i="9"/>
  <c r="M37" i="9"/>
  <c r="D33" i="9"/>
  <c r="M33" i="9"/>
  <c r="D29" i="9"/>
  <c r="M29" i="9"/>
  <c r="M34" i="9"/>
  <c r="D34" i="9"/>
  <c r="M30" i="9"/>
  <c r="D30" i="9"/>
  <c r="M36" i="9"/>
  <c r="D36" i="9"/>
  <c r="M32" i="9"/>
  <c r="D32" i="9"/>
  <c r="M38" i="9"/>
  <c r="D38" i="9"/>
  <c r="M28" i="9"/>
  <c r="C40" i="9" l="1"/>
  <c r="S40" i="9"/>
  <c r="R41" i="9"/>
  <c r="AB36" i="9" s="1"/>
  <c r="K40" i="9"/>
  <c r="N40" i="9"/>
  <c r="N41" i="9"/>
  <c r="AB34" i="9" s="1"/>
  <c r="D40" i="9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5" i="7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6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B17" i="4"/>
  <c r="B18" i="4"/>
  <c r="B19" i="4"/>
  <c r="B20" i="4"/>
  <c r="B21" i="4"/>
  <c r="B22" i="4"/>
  <c r="B23" i="4"/>
  <c r="A17" i="4"/>
  <c r="A18" i="4"/>
  <c r="A19" i="4"/>
  <c r="A20" i="4"/>
  <c r="A21" i="4"/>
  <c r="A22" i="4"/>
  <c r="A23" i="4"/>
  <c r="A24" i="4"/>
  <c r="B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5" i="3"/>
  <c r="J30" i="9" l="1"/>
  <c r="J40" i="9" s="1"/>
  <c r="F29" i="9"/>
  <c r="M39" i="9"/>
  <c r="L41" i="9" s="1"/>
  <c r="AB33" i="9" s="1"/>
  <c r="B32" i="9"/>
  <c r="B36" i="9"/>
  <c r="B37" i="9"/>
  <c r="M40" i="9" l="1"/>
  <c r="J41" i="9"/>
  <c r="AB32" i="9" s="1"/>
  <c r="J10" i="12"/>
  <c r="B106" i="9"/>
  <c r="B110" i="9"/>
  <c r="J14" i="12"/>
  <c r="B109" i="9"/>
  <c r="J13" i="12"/>
  <c r="B111" i="9"/>
  <c r="F15" i="12"/>
  <c r="AO14" i="29" s="1"/>
  <c r="B107" i="9"/>
  <c r="F11" i="12"/>
  <c r="AO10" i="29" s="1"/>
  <c r="B113" i="9"/>
  <c r="F17" i="12"/>
  <c r="AO16" i="29" s="1"/>
  <c r="B108" i="9"/>
  <c r="J12" i="12"/>
  <c r="B114" i="9"/>
  <c r="F18" i="12"/>
  <c r="AO17" i="29" s="1"/>
  <c r="B115" i="9"/>
  <c r="F19" i="12"/>
  <c r="AO18" i="29" s="1"/>
  <c r="B116" i="9"/>
  <c r="J20" i="12"/>
  <c r="B112" i="9"/>
  <c r="J16" i="12"/>
  <c r="B117" i="9"/>
  <c r="F21" i="12"/>
  <c r="AO20" i="29" s="1"/>
  <c r="E28" i="9" l="1"/>
  <c r="B28" i="9"/>
  <c r="E30" i="9"/>
  <c r="B30" i="9"/>
  <c r="I31" i="9"/>
  <c r="F31" i="9"/>
  <c r="J18" i="12"/>
  <c r="F16" i="12"/>
  <c r="AO15" i="29" s="1"/>
  <c r="J17" i="12"/>
  <c r="J15" i="12"/>
  <c r="J21" i="12"/>
  <c r="F20" i="12"/>
  <c r="AO19" i="29" s="1"/>
  <c r="F12" i="12"/>
  <c r="AO11" i="29" s="1"/>
  <c r="J19" i="12"/>
  <c r="J11" i="12"/>
  <c r="F13" i="12"/>
  <c r="AO12" i="29" s="1"/>
  <c r="F14" i="12"/>
  <c r="AO13" i="29" s="1"/>
  <c r="F10" i="12"/>
  <c r="AO9" i="29" s="1"/>
  <c r="E29" i="9" l="1"/>
  <c r="E40" i="9" s="1"/>
  <c r="B29" i="9"/>
  <c r="B41" i="9" s="1"/>
  <c r="AB28" i="9" s="1"/>
  <c r="F41" i="9"/>
  <c r="AB30" i="9" s="1"/>
  <c r="F40" i="9"/>
  <c r="I40" i="9"/>
  <c r="H41" i="9"/>
  <c r="AB31" i="9" s="1"/>
  <c r="D41" i="9" l="1"/>
  <c r="AB29" i="9" s="1"/>
  <c r="B4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<sst xmlns="http://schemas.openxmlformats.org/spreadsheetml/2006/main" count="1036" uniqueCount="473">
  <si>
    <t>ID</t>
  </si>
  <si>
    <t>Student Name</t>
  </si>
  <si>
    <t>HW1</t>
  </si>
  <si>
    <t>HW2</t>
  </si>
  <si>
    <t>HW3</t>
  </si>
  <si>
    <t>HW4</t>
  </si>
  <si>
    <t>HW5</t>
  </si>
  <si>
    <t>HW6</t>
  </si>
  <si>
    <t>HW7</t>
  </si>
  <si>
    <t>HW8</t>
  </si>
  <si>
    <t>HW9</t>
  </si>
  <si>
    <t>HW10</t>
  </si>
  <si>
    <t xml:space="preserve">Grade 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</si>
  <si>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</si>
  <si>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</si>
  <si>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</si>
  <si>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</si>
  <si>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</si>
  <si>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</si>
  <si>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</si>
  <si>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</si>
  <si>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</si>
  <si>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</si>
  <si>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Homework</t>
  </si>
  <si>
    <t>Laboratory</t>
  </si>
  <si>
    <t>Final Exam</t>
  </si>
  <si>
    <t>Midterm Exam</t>
  </si>
  <si>
    <t>Student Survey</t>
  </si>
  <si>
    <t>Students Names and ID</t>
  </si>
  <si>
    <t>Course Analysis</t>
  </si>
  <si>
    <t>Course Information</t>
  </si>
  <si>
    <t>Course Grading Policy</t>
  </si>
  <si>
    <t>Course Report</t>
  </si>
  <si>
    <t>Course Title</t>
  </si>
  <si>
    <t>Course Outcome No.</t>
  </si>
  <si>
    <t>Course Outcome Statement</t>
  </si>
  <si>
    <t>Students Outcomes Assessment</t>
  </si>
  <si>
    <t>Average</t>
  </si>
  <si>
    <t xml:space="preserve">Total </t>
  </si>
  <si>
    <t xml:space="preserve"> Total</t>
  </si>
  <si>
    <t>Total before Final</t>
  </si>
  <si>
    <t xml:space="preserve">Average </t>
  </si>
  <si>
    <t>Average of 10</t>
  </si>
  <si>
    <t xml:space="preserve">Outcomes </t>
  </si>
  <si>
    <t>Course Matrix</t>
  </si>
  <si>
    <t>Course Out Come No.</t>
  </si>
  <si>
    <t xml:space="preserve">Number of Students </t>
  </si>
  <si>
    <t>Note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</si>
  <si>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</si>
  <si>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</si>
  <si>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</si>
  <si>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</si>
  <si>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</si>
  <si>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</si>
  <si>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</si>
  <si>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</si>
  <si>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</si>
  <si>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</si>
  <si>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Quizes</t>
  </si>
  <si>
    <t xml:space="preserve">Course Outcome </t>
  </si>
  <si>
    <t>Final</t>
  </si>
  <si>
    <t>Lab 10</t>
  </si>
  <si>
    <t>Lab 9</t>
  </si>
  <si>
    <t>Lab 8</t>
  </si>
  <si>
    <t>Lab 7</t>
  </si>
  <si>
    <t>Lab 6</t>
  </si>
  <si>
    <t>Lab 5</t>
  </si>
  <si>
    <t>Lab 4</t>
  </si>
  <si>
    <t>Lab 3</t>
  </si>
  <si>
    <t>Lab 2</t>
  </si>
  <si>
    <t>Lab 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</si>
  <si>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</si>
  <si>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</si>
  <si>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</si>
  <si>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</si>
  <si>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</si>
  <si>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</si>
  <si>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</si>
  <si>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</si>
  <si>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</si>
  <si>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Quiz 11</t>
  </si>
  <si>
    <t>Q 11</t>
  </si>
  <si>
    <t>Q 12</t>
  </si>
  <si>
    <t>Q 14</t>
  </si>
  <si>
    <t>Q 17</t>
  </si>
  <si>
    <t>Q 18</t>
  </si>
  <si>
    <t>Q 20</t>
  </si>
  <si>
    <t>Q 21</t>
  </si>
  <si>
    <t>Q 22</t>
  </si>
  <si>
    <t>Q 23</t>
  </si>
  <si>
    <t>Q 24</t>
  </si>
  <si>
    <t>Q 27</t>
  </si>
  <si>
    <t>Q 28</t>
  </si>
  <si>
    <t>Q 29</t>
  </si>
  <si>
    <t>Q 30</t>
  </si>
  <si>
    <t>Q 25</t>
  </si>
  <si>
    <t xml:space="preserve">No. </t>
  </si>
  <si>
    <t>CLO # 1</t>
  </si>
  <si>
    <t>CLO # 2</t>
  </si>
  <si>
    <t>W1</t>
  </si>
  <si>
    <t>W2</t>
  </si>
  <si>
    <t>Curved Final Exam</t>
  </si>
  <si>
    <t>Overall  Grade</t>
  </si>
  <si>
    <t>Midterm 1</t>
  </si>
  <si>
    <t>Midterm 2</t>
  </si>
  <si>
    <t>Curved Midterm 1</t>
  </si>
  <si>
    <t>Curved Midterm 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</si>
  <si>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</si>
  <si>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</si>
  <si>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</si>
  <si>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</si>
  <si>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</si>
  <si>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</si>
  <si>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</si>
  <si>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</si>
  <si>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</si>
  <si>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</si>
  <si>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HW11</t>
  </si>
  <si>
    <t>Grade</t>
  </si>
  <si>
    <t>LO1</t>
  </si>
  <si>
    <t>LO2</t>
  </si>
  <si>
    <t>LO3</t>
  </si>
  <si>
    <t>LO4</t>
  </si>
  <si>
    <t>LO5</t>
  </si>
  <si>
    <t>LO6</t>
  </si>
  <si>
    <t>LO7</t>
  </si>
  <si>
    <t>LO8</t>
  </si>
  <si>
    <t>LO9</t>
  </si>
  <si>
    <t>LO10</t>
  </si>
  <si>
    <t>LO11</t>
  </si>
  <si>
    <t>LO12</t>
  </si>
  <si>
    <t>Report</t>
  </si>
  <si>
    <t>Course Learning Outcome No.</t>
  </si>
  <si>
    <t xml:space="preserve">Course Related Outcomes </t>
  </si>
  <si>
    <t>Curved Quarter Work</t>
  </si>
  <si>
    <t>B+</t>
  </si>
  <si>
    <t>A</t>
  </si>
  <si>
    <t>C+</t>
  </si>
  <si>
    <t>B</t>
  </si>
  <si>
    <t>C</t>
  </si>
  <si>
    <t>Q15</t>
  </si>
  <si>
    <t>Q16</t>
  </si>
  <si>
    <t>Q19</t>
  </si>
  <si>
    <t>Q13</t>
  </si>
  <si>
    <t>Q 31</t>
  </si>
  <si>
    <t>Q 32</t>
  </si>
  <si>
    <t>Q 26</t>
  </si>
  <si>
    <t>GPC Objectives</t>
  </si>
  <si>
    <t>D</t>
  </si>
  <si>
    <t/>
  </si>
  <si>
    <t>Pre-Final Grade</t>
  </si>
  <si>
    <t>Grades in Letter</t>
  </si>
  <si>
    <t>A - F</t>
  </si>
  <si>
    <t xml:space="preserve">Grading Policy </t>
  </si>
  <si>
    <t>F</t>
  </si>
  <si>
    <t xml:space="preserve">   D+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</si>
  <si>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</si>
  <si>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</si>
  <si>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</si>
  <si>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</si>
  <si>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</si>
  <si>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</si>
  <si>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</si>
  <si>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</si>
  <si>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</si>
  <si>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</si>
  <si>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</si>
  <si>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</si>
  <si>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 15</t>
  </si>
  <si>
    <t>Q 16</t>
  </si>
  <si>
    <t>Q 19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</si>
  <si>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</si>
  <si>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</si>
  <si>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</si>
  <si>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</si>
  <si>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</si>
  <si>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</si>
  <si>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</si>
  <si>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</si>
  <si>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</si>
  <si>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</si>
  <si>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</si>
  <si>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</si>
  <si>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</si>
  <si>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Quiz 12</t>
  </si>
  <si>
    <t>Quiz 13</t>
  </si>
  <si>
    <t>Quiz 14</t>
  </si>
  <si>
    <t>Quiz 15</t>
  </si>
  <si>
    <t>Course ID</t>
  </si>
  <si>
    <t>Quarter / Academic Year</t>
  </si>
  <si>
    <t>CRN</t>
  </si>
  <si>
    <t>H1</t>
  </si>
  <si>
    <t>H2</t>
  </si>
  <si>
    <t>I1</t>
  </si>
  <si>
    <t>I2</t>
  </si>
  <si>
    <t>J1</t>
  </si>
  <si>
    <t>J2</t>
  </si>
  <si>
    <t>K1</t>
  </si>
  <si>
    <t>K2</t>
  </si>
  <si>
    <t>D1</t>
  </si>
  <si>
    <t>D2</t>
  </si>
  <si>
    <t>E1</t>
  </si>
  <si>
    <t>E2</t>
  </si>
  <si>
    <t>F1</t>
  </si>
  <si>
    <t>F2</t>
  </si>
  <si>
    <t>G1</t>
  </si>
  <si>
    <t>G2</t>
  </si>
  <si>
    <t>I</t>
  </si>
  <si>
    <t>J</t>
  </si>
  <si>
    <t>K</t>
  </si>
  <si>
    <t>L</t>
  </si>
  <si>
    <t>M</t>
  </si>
  <si>
    <t>N</t>
  </si>
  <si>
    <t>O</t>
  </si>
  <si>
    <t>P</t>
  </si>
  <si>
    <t>Q</t>
  </si>
  <si>
    <t>Midterm Exam 1</t>
  </si>
  <si>
    <t>Makeup Midterm</t>
  </si>
  <si>
    <t>Incomplete Final</t>
  </si>
  <si>
    <t>L1</t>
  </si>
  <si>
    <t>L2</t>
  </si>
  <si>
    <t>M1</t>
  </si>
  <si>
    <t>M2</t>
  </si>
  <si>
    <t>N1</t>
  </si>
  <si>
    <t>N2</t>
  </si>
  <si>
    <t>O1</t>
  </si>
  <si>
    <t>O2</t>
  </si>
  <si>
    <t>P1</t>
  </si>
  <si>
    <t>P2</t>
  </si>
  <si>
    <t>S1</t>
  </si>
  <si>
    <t>S2</t>
  </si>
  <si>
    <t>T1</t>
  </si>
  <si>
    <t>T2</t>
  </si>
  <si>
    <t>V1</t>
  </si>
  <si>
    <t>V2</t>
  </si>
  <si>
    <t>X1</t>
  </si>
  <si>
    <t>X2</t>
  </si>
  <si>
    <t>Y1</t>
  </si>
  <si>
    <t>Y2</t>
  </si>
  <si>
    <t>Z1</t>
  </si>
  <si>
    <t>Z2</t>
  </si>
  <si>
    <t>AA1</t>
  </si>
  <si>
    <t>AA2</t>
  </si>
  <si>
    <t>AB1</t>
  </si>
  <si>
    <t>AB2</t>
  </si>
  <si>
    <t>AD1</t>
  </si>
  <si>
    <t>AD2</t>
  </si>
  <si>
    <t>AE1</t>
  </si>
  <si>
    <t>AE2</t>
  </si>
  <si>
    <t>AF1</t>
  </si>
  <si>
    <t>AF2</t>
  </si>
  <si>
    <t>AG1</t>
  </si>
  <si>
    <t>AG2</t>
  </si>
  <si>
    <t>U1</t>
  </si>
  <si>
    <t>U2</t>
  </si>
  <si>
    <t>AC1</t>
  </si>
  <si>
    <t>AC2</t>
  </si>
  <si>
    <t>Course Weight</t>
  </si>
  <si>
    <t>Homework Sheet</t>
  </si>
  <si>
    <t xml:space="preserve">Instructor Name: </t>
  </si>
  <si>
    <t xml:space="preserve">Course ID: </t>
  </si>
  <si>
    <t>Quizzes sheet</t>
  </si>
  <si>
    <t>Percent</t>
  </si>
  <si>
    <t>D+</t>
  </si>
  <si>
    <t>No. of Students</t>
  </si>
  <si>
    <t>Total</t>
  </si>
  <si>
    <t>Course Registration Number (CRN) / Section Number</t>
  </si>
  <si>
    <t>Task 1</t>
  </si>
  <si>
    <t>Task 2</t>
  </si>
  <si>
    <t>Task3</t>
  </si>
  <si>
    <t>Task4</t>
  </si>
  <si>
    <t>Task5</t>
  </si>
  <si>
    <t>Task 6</t>
  </si>
  <si>
    <t>Task 7</t>
  </si>
  <si>
    <t>Task 8</t>
  </si>
  <si>
    <t>Task 9</t>
  </si>
  <si>
    <t>Task 10</t>
  </si>
  <si>
    <t>Laboratory Final</t>
  </si>
  <si>
    <t>Course Weight ( including Lab final)</t>
  </si>
  <si>
    <t>Lab Final Percent:</t>
  </si>
  <si>
    <t xml:space="preserve"> Total Excluding Lab Final</t>
  </si>
  <si>
    <t>Quizzes</t>
  </si>
  <si>
    <t>Instructor Signature: ……………………………………………………………………………</t>
  </si>
  <si>
    <t xml:space="preserve">CourseTitle: </t>
  </si>
  <si>
    <t>Abu Dhabi Polytechnic</t>
  </si>
  <si>
    <t>Program Head's Name &amp; Signature: ………………………………………………………….</t>
  </si>
  <si>
    <t>Final Grades Report</t>
  </si>
  <si>
    <t>Laboratory Sheet</t>
  </si>
  <si>
    <t>Laboratory Final - Sheet</t>
  </si>
  <si>
    <t>Midterm Makeup - Sheet</t>
  </si>
  <si>
    <t>Final Exam Sheet</t>
  </si>
  <si>
    <t>Incomplete Final Exam - Sheet</t>
  </si>
  <si>
    <t>Program Title / Department:</t>
  </si>
  <si>
    <t>Course Reg. Number (CRN):</t>
  </si>
  <si>
    <t>Students Learning Outcome ID</t>
  </si>
  <si>
    <t>Student Learning Outcome Statement</t>
  </si>
  <si>
    <t>Instructor Name</t>
  </si>
  <si>
    <t>Correspondent Student Learning Outcome</t>
  </si>
  <si>
    <t>Enter the lab final percent in cell N2 (e.g. 20, 30, 50, etc..)</t>
  </si>
  <si>
    <t>Reports &amp; Presentations</t>
  </si>
  <si>
    <t>Abu Dhabi Polytechnic Course and Students Learning Outcomes Assessment System</t>
  </si>
  <si>
    <t>Measurement Scale</t>
  </si>
  <si>
    <t xml:space="preserve">If the course outcome assessment score is below 3, instructor is strongly recommended to provide program head with a report identifying areas of improvement at the course level and to suggest necessary actions to be undertaken to overcome future challenges when offering this course. </t>
  </si>
  <si>
    <t>Score Scale</t>
  </si>
  <si>
    <t>Score Interpretation</t>
  </si>
  <si>
    <t>Course Syllabus</t>
  </si>
  <si>
    <t>Outstanding Performance</t>
  </si>
  <si>
    <t>Sufficient / Satisfactory</t>
  </si>
  <si>
    <t>Poor/ insufficient</t>
  </si>
  <si>
    <t>Good/Average Performance</t>
  </si>
  <si>
    <t>Quantitative Assessment Mapped to AD-Polytechnic Students Learning Outcome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</si>
  <si>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</si>
  <si>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</si>
  <si>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</si>
  <si>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</si>
  <si>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</si>
  <si>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</si>
  <si>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</si>
  <si>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</si>
  <si>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</si>
  <si>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</si>
  <si>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</si>
  <si>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</si>
  <si>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Q SO's</t>
  </si>
  <si>
    <t>S SO's</t>
  </si>
  <si>
    <t>Student Assessment Mapped to AD-Polytechnic Students Learning Outcomes</t>
  </si>
  <si>
    <t>Course Analysis Sheet</t>
  </si>
  <si>
    <t>Correspondent Students Learning Outcome</t>
  </si>
  <si>
    <t>Course Quantitative Assessment</t>
  </si>
  <si>
    <t>Very good Performance</t>
  </si>
  <si>
    <t>Outstanding performance with minor error.</t>
  </si>
  <si>
    <t>Above the average standard with some errors.</t>
  </si>
  <si>
    <t>Generally sound work with number of notable errors.</t>
  </si>
  <si>
    <t>Poor performance, but generally meets the minimum criteria. Considerable further work is required. (Improvement action plan is required)</t>
  </si>
  <si>
    <t>Fair performance, but with significant shortcomings. Some work is required. (Improvement action plan is required).</t>
  </si>
  <si>
    <t>A+</t>
  </si>
  <si>
    <t>A-</t>
  </si>
  <si>
    <t>B-</t>
  </si>
  <si>
    <t>C-</t>
  </si>
  <si>
    <t>Semester Work</t>
  </si>
  <si>
    <t>EMET</t>
  </si>
  <si>
    <t>Semester / Academic Year</t>
  </si>
  <si>
    <t>Course Details</t>
  </si>
  <si>
    <t>Course CLOs</t>
  </si>
  <si>
    <t>Corresponding SO(s)</t>
  </si>
  <si>
    <t>An ability to apply knowledge, techniques, skills and modern tools of mathematics, science, engineering, and technology to solve broadly-defined engineering problems appropriate to the discipline;</t>
  </si>
  <si>
    <t>PI 1.a.</t>
  </si>
  <si>
    <t>Apply knowledge of STEM to solve broadly-defined electromechanical engineering problems appropriate to the discipline</t>
  </si>
  <si>
    <t>Apply and techniques of STEM to solve broadly-defined electromechanical engineering problems appropriate to the discipline</t>
  </si>
  <si>
    <t>Apply skills of STEM to solve broadly-defined electromechanical engineering problems appropriate to the discipline</t>
  </si>
  <si>
    <t>PI 1.b.</t>
  </si>
  <si>
    <t xml:space="preserve">Apply modern tools of STEM to solve broadly-defined electromechanical engineering problems appropriate to the discipline </t>
  </si>
  <si>
    <t xml:space="preserve">An ability to design systems, components, or processes meeting specified needs for broadly-defined engineering problems appropriate to the discipline; </t>
  </si>
  <si>
    <t>PI 2.a.</t>
  </si>
  <si>
    <t>Ability to design systems, components or process meeting specified needs for broadly-defined electromechanical engineering problems.</t>
  </si>
  <si>
    <t>PI 2.b.</t>
  </si>
  <si>
    <t>Identify the design constraints, establish criteria for acceptability and desirability of solutions, and select the most appropriate solution.</t>
  </si>
  <si>
    <t xml:space="preserve">An ability to apply written, oral, and graphical communication in broadly-defined technical and non-technical environments; and an ability to identify and use appropriate technical literature; </t>
  </si>
  <si>
    <t>PI 3.a.</t>
  </si>
  <si>
    <t>PI 3.b.</t>
  </si>
  <si>
    <t xml:space="preserve">Apply oral communication in broadly-defined technical and non-technical environments.  </t>
  </si>
  <si>
    <t>Identify and use appropriate technical literature.</t>
  </si>
  <si>
    <t>An ability to conduct standard tests, measurements, and experiments and to analyze and interpret the results to improve processes.</t>
  </si>
  <si>
    <t>PI 4.a.</t>
  </si>
  <si>
    <t>Conduct standard tests, measurements, and experiments.</t>
  </si>
  <si>
    <t>PI 4.b.</t>
  </si>
  <si>
    <t>Analyze and interpret the results to improve processes and commit to all aspects of quality management</t>
  </si>
  <si>
    <t>An ability to function effectively as a member as well as a leader on technical teams.</t>
  </si>
  <si>
    <t>PI 5.a.</t>
  </si>
  <si>
    <t>Recognize participant roles, work effectively with other team members, and consult/communicate with team members to come-up with decisions in relation to the task in hand.</t>
  </si>
  <si>
    <t>PI 5.b.</t>
  </si>
  <si>
    <t>Express willingness to take on leadership and ethical responsibilities as a team member and engage in lifelong learning.</t>
  </si>
  <si>
    <t>An ability to apply innovation and entrepreneurship skills to broadly defined engineering applications.</t>
  </si>
  <si>
    <t>PI 6.a.</t>
  </si>
  <si>
    <t>Recognize the importance of apply innovative skills in engineering applications.</t>
  </si>
  <si>
    <t>PI 6.b.</t>
  </si>
  <si>
    <t>Recognize the need for entrepreneurship skills in engineering applications.</t>
  </si>
  <si>
    <t>ABET Pass Criteria</t>
  </si>
  <si>
    <t>so #</t>
  </si>
  <si>
    <t>PI #</t>
  </si>
  <si>
    <t>Contribution %</t>
  </si>
  <si>
    <t>SO Description</t>
  </si>
  <si>
    <t>Prorgam Outcomes 
PIs</t>
  </si>
  <si>
    <t>PI 1.a</t>
  </si>
  <si>
    <t>PI 1.c.</t>
  </si>
  <si>
    <t>PI 1.b</t>
  </si>
  <si>
    <t>PI 1.d.</t>
  </si>
  <si>
    <t>An ability to design systems, components, or processes meeting specified needs for broadly-defined engineering problems appropriate to the discipline;</t>
  </si>
  <si>
    <t>PI 1.c</t>
  </si>
  <si>
    <t>PI 1.d</t>
  </si>
  <si>
    <t>Apply written and graphical communication in broadly-defined technical and non-technical environments.</t>
  </si>
  <si>
    <t>PI 2.a</t>
  </si>
  <si>
    <t>PI 3.c.</t>
  </si>
  <si>
    <t>PI 2.b</t>
  </si>
  <si>
    <t>PI 3.a</t>
  </si>
  <si>
    <t>PI 3.b</t>
  </si>
  <si>
    <t>PI 3.c</t>
  </si>
  <si>
    <t>PI 4.a</t>
  </si>
  <si>
    <t>PI 4.b</t>
  </si>
  <si>
    <t>PI 5.a</t>
  </si>
  <si>
    <t>PI 5.b</t>
  </si>
  <si>
    <t>PI 6.a</t>
  </si>
  <si>
    <t>PI 6.b</t>
  </si>
  <si>
    <t>CLO #</t>
  </si>
  <si>
    <t>PI Average</t>
  </si>
  <si>
    <t>DA out of 5</t>
  </si>
  <si>
    <t>Degree of Attainment (DA in %)</t>
  </si>
  <si>
    <t>SO #</t>
  </si>
  <si>
    <t xml:space="preserve">Table 1: ABET's Student Outcomes with Performance Indicators
</t>
  </si>
  <si>
    <t xml:space="preserve">Table 3: Mapping of CLOs with SOs and their Corresponding PIs.
</t>
  </si>
  <si>
    <t>Fill in the colored columns with an 'x' to use the corresponding assessment against the PI</t>
  </si>
  <si>
    <t>Do not write in the white columns</t>
  </si>
  <si>
    <t>Sum</t>
  </si>
  <si>
    <t># of Asses. Included</t>
  </si>
  <si>
    <t xml:space="preserve">Table 1: Course Information
</t>
  </si>
  <si>
    <t xml:space="preserve">Table 2: Assessments Mapping with PIs
</t>
  </si>
  <si>
    <t xml:space="preserve">Table 4: SOs Attainment Results
</t>
  </si>
  <si>
    <t># of Assesments Included</t>
  </si>
  <si>
    <t>Course Learning Outcome</t>
  </si>
  <si>
    <t>Program</t>
  </si>
  <si>
    <t>Program PIs</t>
  </si>
  <si>
    <t>If a sub-PI is not contributing to the SO, make sure you place a 0 for its value.</t>
  </si>
  <si>
    <t>Status of PI for Justification</t>
  </si>
  <si>
    <t>Justification</t>
  </si>
  <si>
    <t>#of students=</t>
  </si>
  <si>
    <t xml:space="preserve">Table 2: PIs Score with Justifications
</t>
  </si>
  <si>
    <t xml:space="preserve">Table 3: Recommendations to Improve PIs Score
</t>
  </si>
  <si>
    <t>Score of Current Semester</t>
  </si>
  <si>
    <t>Score of Previous Semester</t>
  </si>
  <si>
    <t>EMET Program PIs Improvement Report</t>
  </si>
  <si>
    <t>Midterm Exam Sheet</t>
  </si>
  <si>
    <t>Strongly Agree</t>
  </si>
  <si>
    <t>Agree</t>
  </si>
  <si>
    <t>Neutral</t>
  </si>
  <si>
    <t>Disagree</t>
  </si>
  <si>
    <t>Strongly Disagree</t>
  </si>
  <si>
    <t>Calculations</t>
  </si>
  <si>
    <t>Evaluation</t>
  </si>
  <si>
    <t>Unanswered</t>
  </si>
  <si>
    <t># of students who did attemp the survey</t>
  </si>
  <si>
    <t>CLO Q Value</t>
  </si>
  <si>
    <t>Sos</t>
  </si>
  <si>
    <t>CLOs</t>
  </si>
  <si>
    <t>CLOs Splitted</t>
  </si>
  <si>
    <t>PIs</t>
  </si>
  <si>
    <t>PI1a</t>
  </si>
  <si>
    <t>PI1b</t>
  </si>
  <si>
    <t>PI1c</t>
  </si>
  <si>
    <t>PI1d</t>
  </si>
  <si>
    <t>PI Value</t>
  </si>
  <si>
    <t>SO1 DA</t>
  </si>
  <si>
    <t>SO2 DA</t>
  </si>
  <si>
    <t>PI2a</t>
  </si>
  <si>
    <t>PI2b</t>
  </si>
  <si>
    <t>SO3 DA</t>
  </si>
  <si>
    <t>PI3a</t>
  </si>
  <si>
    <t>PI3b</t>
  </si>
  <si>
    <t>PI3c</t>
  </si>
  <si>
    <t>PI4a</t>
  </si>
  <si>
    <t>PI4b</t>
  </si>
  <si>
    <t>PI5a</t>
  </si>
  <si>
    <t>PI5b</t>
  </si>
  <si>
    <t>PI6a</t>
  </si>
  <si>
    <t>PI6b</t>
  </si>
  <si>
    <t>SO5 DA</t>
  </si>
  <si>
    <t>SO6 DA</t>
  </si>
  <si>
    <t>SO4 DA</t>
  </si>
  <si>
    <t>COUNT</t>
  </si>
  <si>
    <t>Recommendations From Previous Semester</t>
  </si>
  <si>
    <t>Actions TaKen To Address Previous Semester Recommendations</t>
  </si>
  <si>
    <t>Recommendations For Next Semester</t>
  </si>
  <si>
    <r>
      <rPr>
        <b/>
        <u/>
        <sz val="14"/>
        <color theme="1"/>
        <rFont val="Times New Roman"/>
        <family val="1"/>
      </rPr>
      <t>Comprehensive instructor review of the presentation of the course, covering:</t>
    </r>
    <r>
      <rPr>
        <sz val="16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• appropriateness of the course learning outcomes;
• extent to which the syllabus was covered;
• extent to which learning outcomes were met (with evidence);
• appropriateness of textbooks and other learning resources;
• appropriateness of assessment instruments in relation to learning outcomes;
• appropriateness of the balance of assessment;
• appropriateness of prerequisites;
• general comments on any problems encountered with the course;</t>
    </r>
  </si>
  <si>
    <t>Project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</si>
</sst>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.0"/>
    <numFmt numFmtId="166" formatCode="#,##0.00%"/>
    <numFmt numFmtId="167" formatCode="[$-409]mmmm\ d\,\ yyyy;@"/>
    <numFmt numFmtId="168" formatCode="[$-F800]dddd\,\ mmmm\ dd\,\ yyyy"/>
  </numFmts>
  <fonts count="10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4"/>
      <name val="Arial"/>
      <family val="2"/>
    </font>
    <font>
      <b/>
      <sz val="14"/>
      <color rgb="FF0000CC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4"/>
      <color rgb="FF0000CC"/>
      <name val="Calibri"/>
      <family val="2"/>
      <scheme val="minor"/>
    </font>
    <font>
      <b/>
      <u/>
      <sz val="12"/>
      <name val="Arial"/>
      <family val="2"/>
    </font>
    <font>
      <b/>
      <sz val="12"/>
      <name val="Calibri"/>
      <family val="2"/>
      <scheme val="minor"/>
    </font>
    <font>
      <u/>
      <sz val="12"/>
      <color theme="10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sz val="11"/>
      <color rgb="FF0000CC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20"/>
      <color rgb="FF0000CC"/>
      <name val="Cambria"/>
      <family val="1"/>
      <scheme val="major"/>
    </font>
    <font>
      <sz val="14"/>
      <name val="Cambria"/>
      <family val="1"/>
      <scheme val="major"/>
    </font>
    <font>
      <sz val="12"/>
      <color theme="1"/>
      <name val="Times New Roman"/>
      <family val="1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0"/>
      <color rgb="FF000000"/>
      <name val="Times New Roman"/>
      <family val="1"/>
    </font>
    <font>
      <b/>
      <sz val="11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Cambria"/>
      <family val="1"/>
    </font>
    <font>
      <b/>
      <sz val="10"/>
      <color rgb="FF808000"/>
      <name val="Arial"/>
      <family val="2"/>
    </font>
    <font>
      <b/>
      <sz val="13"/>
      <color rgb="FF000000"/>
      <name val="Cambria"/>
      <family val="1"/>
    </font>
    <font>
      <b/>
      <sz val="9"/>
      <color rgb="FF808000"/>
      <name val="Arial"/>
      <family val="2"/>
    </font>
    <font>
      <sz val="12"/>
      <color rgb="FF000000"/>
      <name val="Times New Roman"/>
      <family val="1"/>
    </font>
    <font>
      <b/>
      <sz val="12"/>
      <color rgb="FF808000"/>
      <name val="Times New Roman"/>
      <family val="1"/>
    </font>
    <font>
      <b/>
      <sz val="12"/>
      <color rgb="FF818100"/>
      <name val="Arial"/>
      <family val="2"/>
    </font>
    <font>
      <b/>
      <sz val="12"/>
      <color rgb="FF818100"/>
      <name val="Times New Roman"/>
      <family val="1"/>
    </font>
    <font>
      <sz val="9"/>
      <color rgb="FF000000"/>
      <name val="Arial"/>
      <family val="2"/>
    </font>
    <font>
      <sz val="12"/>
      <color rgb="FF000000"/>
      <name val="Symbol"/>
      <family val="1"/>
      <charset val="2"/>
    </font>
    <font>
      <b/>
      <sz val="12"/>
      <color rgb="FF808000"/>
      <name val="Arial"/>
      <family val="2"/>
    </font>
    <font>
      <u/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0"/>
      <color rgb="FF808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sz val="18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4"/>
      <color rgb="FF0000CC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8"/>
      <color theme="1"/>
      <name val="Calibri"/>
      <family val="2"/>
      <scheme val="minor"/>
    </font>
    <font>
      <sz val="11"/>
      <color theme="1"/>
      <name val="Calibri Light"/>
      <family val="2"/>
    </font>
    <font>
      <sz val="14"/>
      <color theme="1"/>
      <name val="Calibri Light"/>
      <family val="2"/>
    </font>
    <font>
      <sz val="72"/>
      <color theme="1"/>
      <name val="Calibri Light"/>
      <family val="2"/>
    </font>
    <font>
      <sz val="26"/>
      <color theme="1"/>
      <name val="Calibri Light"/>
      <family val="2"/>
    </font>
    <font>
      <sz val="22"/>
      <color theme="1"/>
      <name val="Calibri Light"/>
      <family val="2"/>
    </font>
    <font>
      <sz val="20"/>
      <color theme="1"/>
      <name val="Calibri Light"/>
      <family val="2"/>
    </font>
    <font>
      <sz val="22"/>
      <name val="Calibri Light"/>
      <family val="2"/>
    </font>
    <font>
      <sz val="15"/>
      <color theme="3"/>
      <name val="Calibri Light"/>
      <family val="2"/>
    </font>
    <font>
      <sz val="24"/>
      <name val="Calibri Light"/>
      <family val="2"/>
    </font>
    <font>
      <sz val="24"/>
      <color theme="1"/>
      <name val="Calibri Light"/>
      <family val="2"/>
    </font>
    <font>
      <sz val="14"/>
      <color theme="3"/>
      <name val="Calibri Light"/>
      <family val="2"/>
    </font>
    <font>
      <sz val="11"/>
      <name val="Calibri Light"/>
      <family val="2"/>
    </font>
    <font>
      <sz val="20"/>
      <name val="Calibri Light"/>
      <family val="2"/>
    </font>
    <font>
      <b/>
      <sz val="11"/>
      <color theme="1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0"/>
      <color theme="1"/>
      <name val="Cambria"/>
      <family val="2"/>
      <scheme val="major"/>
    </font>
    <font>
      <b/>
      <sz val="10"/>
      <color theme="1"/>
      <name val="Cambria"/>
      <family val="1"/>
      <scheme val="major"/>
    </font>
    <font>
      <b/>
      <sz val="11"/>
      <color rgb="FFFF0000"/>
      <name val="Cambria"/>
      <family val="2"/>
      <scheme val="maj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5"/>
      <name val="Times New Roman"/>
      <family val="1"/>
    </font>
    <font>
      <sz val="11"/>
      <color rgb="FFFF0000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5" tint="-0.249977111117893"/>
      <name val="Times New Roman"/>
      <family val="1"/>
    </font>
    <font>
      <b/>
      <u/>
      <sz val="11"/>
      <name val="Calibri"/>
      <family val="2"/>
    </font>
    <font>
      <sz val="8"/>
      <name val="Calibri"/>
      <family val="2"/>
      <scheme val="minor"/>
    </font>
    <font>
      <b/>
      <sz val="11"/>
      <color theme="3" tint="0.3999755851924192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b/>
      <u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30"/>
      </left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4" fillId="0" borderId="29" applyNumberFormat="0" applyFill="0" applyAlignment="0" applyProtection="0"/>
    <xf numFmtId="9" fontId="54" fillId="0" borderId="0" applyFont="0" applyFill="0" applyBorder="0" applyAlignment="0" applyProtection="0"/>
    <xf numFmtId="0" fontId="10" fillId="0" borderId="0"/>
    <xf numFmtId="0" fontId="55" fillId="0" borderId="0"/>
    <xf numFmtId="0" fontId="62" fillId="0" borderId="0" applyNumberFormat="0" applyFill="0" applyBorder="0" applyAlignment="0" applyProtection="0"/>
    <xf numFmtId="0" fontId="63" fillId="0" borderId="37" applyNumberFormat="0" applyFill="0" applyAlignment="0" applyProtection="0"/>
    <xf numFmtId="0" fontId="64" fillId="0" borderId="38" applyNumberFormat="0" applyFill="0" applyAlignment="0" applyProtection="0"/>
    <xf numFmtId="0" fontId="54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85" fillId="26" borderId="0" applyNumberFormat="0" applyBorder="0" applyAlignment="0" applyProtection="0"/>
    <xf numFmtId="0" fontId="65" fillId="27" borderId="0" applyNumberFormat="0" applyBorder="0" applyAlignment="0" applyProtection="0"/>
    <xf numFmtId="0" fontId="97" fillId="29" borderId="78" applyNumberFormat="0" applyAlignment="0" applyProtection="0"/>
  </cellStyleXfs>
  <cellXfs count="774"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1" applyFont="1" applyFill="1" applyBorder="1" applyAlignment="1" applyProtection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1" applyFont="1" applyAlignment="1" applyProtection="1"/>
    <xf numFmtId="0" fontId="15" fillId="0" borderId="0" xfId="1" applyFont="1" applyBorder="1" applyAlignment="1" applyProtection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4" borderId="0" xfId="0" applyFill="1"/>
    <xf numFmtId="0" fontId="19" fillId="0" borderId="0" xfId="0" applyFont="1"/>
    <xf numFmtId="9" fontId="20" fillId="3" borderId="6" xfId="0" applyNumberFormat="1" applyFont="1" applyFill="1" applyBorder="1"/>
    <xf numFmtId="0" fontId="20" fillId="0" borderId="0" xfId="0" applyFont="1"/>
    <xf numFmtId="0" fontId="20" fillId="3" borderId="9" xfId="0" applyFont="1" applyFill="1" applyBorder="1"/>
    <xf numFmtId="9" fontId="20" fillId="3" borderId="9" xfId="0" applyNumberFormat="1" applyFont="1" applyFill="1" applyBorder="1"/>
    <xf numFmtId="9" fontId="20" fillId="3" borderId="8" xfId="0" applyNumberFormat="1" applyFont="1" applyFill="1" applyBorder="1"/>
    <xf numFmtId="0" fontId="20" fillId="3" borderId="4" xfId="0" applyFont="1" applyFill="1" applyBorder="1"/>
    <xf numFmtId="0" fontId="20" fillId="3" borderId="5" xfId="0" applyFont="1" applyFill="1" applyBorder="1"/>
    <xf numFmtId="0" fontId="21" fillId="3" borderId="4" xfId="0" applyFont="1" applyFill="1" applyBorder="1"/>
    <xf numFmtId="0" fontId="21" fillId="3" borderId="5" xfId="0" applyFont="1" applyFill="1" applyBorder="1"/>
    <xf numFmtId="0" fontId="21" fillId="3" borderId="6" xfId="0" applyFont="1" applyFill="1" applyBorder="1"/>
    <xf numFmtId="0" fontId="20" fillId="3" borderId="7" xfId="0" applyFont="1" applyFill="1" applyBorder="1"/>
    <xf numFmtId="0" fontId="20" fillId="3" borderId="0" xfId="0" applyFont="1" applyFill="1"/>
    <xf numFmtId="0" fontId="21" fillId="3" borderId="7" xfId="0" applyFont="1" applyFill="1" applyBorder="1"/>
    <xf numFmtId="0" fontId="21" fillId="3" borderId="0" xfId="0" applyFont="1" applyFill="1"/>
    <xf numFmtId="0" fontId="21" fillId="3" borderId="9" xfId="0" applyFont="1" applyFill="1" applyBorder="1"/>
    <xf numFmtId="0" fontId="20" fillId="3" borderId="10" xfId="0" applyFont="1" applyFill="1" applyBorder="1"/>
    <xf numFmtId="0" fontId="20" fillId="3" borderId="3" xfId="0" applyFont="1" applyFill="1" applyBorder="1"/>
    <xf numFmtId="0" fontId="21" fillId="3" borderId="10" xfId="0" applyFont="1" applyFill="1" applyBorder="1"/>
    <xf numFmtId="0" fontId="21" fillId="3" borderId="3" xfId="0" applyFont="1" applyFill="1" applyBorder="1"/>
    <xf numFmtId="0" fontId="21" fillId="3" borderId="8" xfId="0" applyFont="1" applyFill="1" applyBorder="1"/>
    <xf numFmtId="0" fontId="22" fillId="0" borderId="0" xfId="0" applyFont="1"/>
    <xf numFmtId="0" fontId="24" fillId="0" borderId="0" xfId="0" applyFont="1" applyAlignment="1">
      <alignment horizontal="center"/>
    </xf>
    <xf numFmtId="0" fontId="23" fillId="0" borderId="0" xfId="0" applyFont="1"/>
    <xf numFmtId="0" fontId="23" fillId="4" borderId="0" xfId="0" applyFont="1" applyFill="1"/>
    <xf numFmtId="0" fontId="25" fillId="0" borderId="0" xfId="0" applyFont="1" applyAlignment="1">
      <alignment horizontal="center"/>
    </xf>
    <xf numFmtId="0" fontId="0" fillId="12" borderId="0" xfId="0" applyFill="1"/>
    <xf numFmtId="0" fontId="0" fillId="6" borderId="0" xfId="0" applyFill="1"/>
    <xf numFmtId="0" fontId="0" fillId="2" borderId="0" xfId="0" applyFill="1"/>
    <xf numFmtId="0" fontId="11" fillId="4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8" borderId="13" xfId="0" applyFont="1" applyFill="1" applyBorder="1" applyAlignment="1">
      <alignment horizontal="center" shrinkToFit="1"/>
    </xf>
    <xf numFmtId="0" fontId="0" fillId="0" borderId="0" xfId="0" applyAlignment="1">
      <alignment shrinkToFit="1"/>
    </xf>
    <xf numFmtId="0" fontId="11" fillId="8" borderId="1" xfId="0" applyFont="1" applyFill="1" applyBorder="1" applyAlignment="1">
      <alignment horizontal="center" shrinkToFit="1"/>
    </xf>
    <xf numFmtId="0" fontId="0" fillId="4" borderId="1" xfId="0" applyFill="1" applyBorder="1" applyAlignment="1">
      <alignment horizontal="center" shrinkToFit="1"/>
    </xf>
    <xf numFmtId="0" fontId="0" fillId="6" borderId="1" xfId="0" applyFill="1" applyBorder="1" applyAlignment="1">
      <alignment horizontal="center" shrinkToFit="1"/>
    </xf>
    <xf numFmtId="0" fontId="0" fillId="2" borderId="11" xfId="0" applyFill="1" applyBorder="1" applyAlignment="1">
      <alignment horizontal="center" shrinkToFit="1"/>
    </xf>
    <xf numFmtId="0" fontId="0" fillId="2" borderId="12" xfId="0" applyFill="1" applyBorder="1" applyAlignment="1">
      <alignment horizontal="center" shrinkToFit="1"/>
    </xf>
    <xf numFmtId="0" fontId="0" fillId="6" borderId="16" xfId="0" applyFill="1" applyBorder="1"/>
    <xf numFmtId="0" fontId="0" fillId="6" borderId="12" xfId="0" applyFill="1" applyBorder="1"/>
    <xf numFmtId="0" fontId="0" fillId="5" borderId="0" xfId="0" applyFill="1"/>
    <xf numFmtId="165" fontId="0" fillId="3" borderId="1" xfId="0" applyNumberFormat="1" applyFill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 indent="15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left" vertical="center" indent="15"/>
    </xf>
    <xf numFmtId="0" fontId="43" fillId="0" borderId="0" xfId="0" applyFont="1" applyAlignment="1">
      <alignment horizontal="left" vertical="center" indent="15"/>
    </xf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 indent="5"/>
    </xf>
    <xf numFmtId="0" fontId="33" fillId="0" borderId="0" xfId="0" applyFont="1" applyAlignment="1">
      <alignment horizontal="justify" vertical="center"/>
    </xf>
    <xf numFmtId="0" fontId="41" fillId="0" borderId="0" xfId="0" applyFont="1" applyAlignment="1">
      <alignment horizontal="left" vertical="center" indent="5"/>
    </xf>
    <xf numFmtId="0" fontId="41" fillId="0" borderId="0" xfId="0" applyFont="1" applyAlignment="1">
      <alignment horizontal="left" vertical="center" indent="2"/>
    </xf>
    <xf numFmtId="0" fontId="47" fillId="0" borderId="0" xfId="0" applyFont="1" applyAlignment="1">
      <alignment vertical="center"/>
    </xf>
    <xf numFmtId="9" fontId="41" fillId="0" borderId="0" xfId="0" applyNumberFormat="1" applyFont="1" applyAlignment="1">
      <alignment horizontal="left" vertical="center" indent="2"/>
    </xf>
    <xf numFmtId="0" fontId="48" fillId="0" borderId="0" xfId="0" applyFont="1" applyAlignment="1">
      <alignment horizontal="left" vertical="center" indent="2"/>
    </xf>
    <xf numFmtId="9" fontId="48" fillId="0" borderId="0" xfId="0" applyNumberFormat="1" applyFont="1" applyAlignment="1">
      <alignment horizontal="left" vertical="center" indent="2"/>
    </xf>
    <xf numFmtId="0" fontId="36" fillId="0" borderId="31" xfId="0" applyFont="1" applyBorder="1" applyAlignment="1">
      <alignment horizontal="center" vertical="center" wrapText="1"/>
    </xf>
    <xf numFmtId="0" fontId="36" fillId="0" borderId="32" xfId="0" applyFont="1" applyBorder="1" applyAlignment="1">
      <alignment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4" xfId="0" applyFont="1" applyBorder="1" applyAlignment="1">
      <alignment vertical="center" wrapText="1"/>
    </xf>
    <xf numFmtId="1" fontId="0" fillId="3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8" fillId="0" borderId="0" xfId="0" applyFont="1" applyAlignment="1">
      <alignment vertical="center"/>
    </xf>
    <xf numFmtId="0" fontId="33" fillId="0" borderId="35" xfId="0" applyFont="1" applyBorder="1" applyAlignment="1">
      <alignment vertical="center" wrapText="1"/>
    </xf>
    <xf numFmtId="0" fontId="50" fillId="0" borderId="34" xfId="0" applyFont="1" applyBorder="1" applyAlignment="1">
      <alignment vertical="center" wrapText="1"/>
    </xf>
    <xf numFmtId="0" fontId="51" fillId="0" borderId="0" xfId="0" applyFont="1" applyAlignment="1">
      <alignment vertical="center"/>
    </xf>
    <xf numFmtId="0" fontId="0" fillId="0" borderId="0" xfId="0" applyProtection="1">
      <protection locked="0"/>
    </xf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 vertical="top"/>
      <protection locked="0"/>
    </xf>
    <xf numFmtId="166" fontId="53" fillId="0" borderId="0" xfId="0" applyNumberFormat="1" applyFont="1" applyAlignment="1" applyProtection="1">
      <alignment horizontal="left" vertical="top"/>
      <protection locked="0"/>
    </xf>
    <xf numFmtId="0" fontId="53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11" borderId="2" xfId="0" applyFill="1" applyBorder="1" applyAlignment="1">
      <alignment horizontal="center"/>
    </xf>
    <xf numFmtId="9" fontId="0" fillId="0" borderId="0" xfId="3" applyFont="1"/>
    <xf numFmtId="0" fontId="10" fillId="0" borderId="1" xfId="4" quotePrefix="1" applyBorder="1" applyAlignment="1">
      <alignment horizontal="center"/>
    </xf>
    <xf numFmtId="0" fontId="10" fillId="0" borderId="1" xfId="4" applyBorder="1" applyAlignment="1">
      <alignment horizontal="center"/>
    </xf>
    <xf numFmtId="0" fontId="56" fillId="0" borderId="0" xfId="5" applyFont="1" applyProtection="1">
      <protection locked="0"/>
    </xf>
    <xf numFmtId="0" fontId="57" fillId="0" borderId="0" xfId="5" applyFont="1" applyAlignment="1" applyProtection="1">
      <alignment horizontal="left" vertical="top"/>
      <protection locked="0"/>
    </xf>
    <xf numFmtId="166" fontId="57" fillId="0" borderId="0" xfId="5" applyNumberFormat="1" applyFont="1" applyAlignment="1" applyProtection="1">
      <alignment horizontal="left" vertical="top"/>
      <protection locked="0"/>
    </xf>
    <xf numFmtId="0" fontId="0" fillId="0" borderId="27" xfId="0" applyBorder="1" applyProtection="1">
      <protection locked="0"/>
    </xf>
    <xf numFmtId="0" fontId="55" fillId="0" borderId="0" xfId="5" applyProtection="1">
      <protection locked="0"/>
    </xf>
    <xf numFmtId="0" fontId="57" fillId="0" borderId="0" xfId="5" applyFont="1" applyAlignment="1" applyProtection="1">
      <alignment horizontal="left"/>
      <protection locked="0"/>
    </xf>
    <xf numFmtId="0" fontId="55" fillId="0" borderId="0" xfId="5" applyAlignment="1" applyProtection="1">
      <alignment horizontal="left" vertical="top"/>
      <protection locked="0"/>
    </xf>
    <xf numFmtId="0" fontId="0" fillId="0" borderId="27" xfId="0" applyBorder="1" applyAlignment="1" applyProtection="1">
      <alignment wrapText="1"/>
      <protection locked="0"/>
    </xf>
    <xf numFmtId="166" fontId="53" fillId="0" borderId="27" xfId="0" applyNumberFormat="1" applyFont="1" applyBorder="1" applyAlignment="1" applyProtection="1">
      <alignment horizontal="left" vertical="top"/>
      <protection locked="0"/>
    </xf>
    <xf numFmtId="0" fontId="0" fillId="2" borderId="30" xfId="0" applyFill="1" applyBorder="1" applyProtection="1">
      <protection locked="0"/>
    </xf>
    <xf numFmtId="0" fontId="3" fillId="2" borderId="12" xfId="1" applyFont="1" applyFill="1" applyBorder="1" applyAlignment="1" applyProtection="1">
      <alignment horizontal="center"/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34" fillId="2" borderId="30" xfId="2" applyFill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2" fillId="0" borderId="0" xfId="1" applyAlignment="1" applyProtection="1">
      <protection locked="0"/>
    </xf>
    <xf numFmtId="0" fontId="6" fillId="0" borderId="0" xfId="0" applyFont="1" applyProtection="1">
      <protection locked="0"/>
    </xf>
    <xf numFmtId="0" fontId="2" fillId="0" borderId="0" xfId="1" applyBorder="1" applyAlignment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49" fillId="3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4" borderId="1" xfId="0" applyFill="1" applyBorder="1" applyProtection="1">
      <protection locked="0"/>
    </xf>
    <xf numFmtId="165" fontId="0" fillId="5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3" borderId="1" xfId="0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/>
      <protection locked="0"/>
    </xf>
    <xf numFmtId="0" fontId="49" fillId="13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30" fillId="10" borderId="1" xfId="0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 applyProtection="1">
      <alignment horizontal="center"/>
      <protection locked="0"/>
    </xf>
    <xf numFmtId="0" fontId="32" fillId="5" borderId="5" xfId="0" applyFont="1" applyFill="1" applyBorder="1" applyProtection="1">
      <protection locked="0"/>
    </xf>
    <xf numFmtId="0" fontId="31" fillId="5" borderId="5" xfId="0" applyFont="1" applyFill="1" applyBorder="1" applyProtection="1">
      <protection locked="0"/>
    </xf>
    <xf numFmtId="164" fontId="32" fillId="5" borderId="5" xfId="0" applyNumberFormat="1" applyFont="1" applyFill="1" applyBorder="1" applyProtection="1">
      <protection locked="0"/>
    </xf>
    <xf numFmtId="0" fontId="30" fillId="5" borderId="5" xfId="0" applyFont="1" applyFill="1" applyBorder="1" applyProtection="1">
      <protection locked="0"/>
    </xf>
    <xf numFmtId="0" fontId="17" fillId="5" borderId="5" xfId="0" applyFont="1" applyFill="1" applyBorder="1" applyProtection="1">
      <protection locked="0"/>
    </xf>
    <xf numFmtId="0" fontId="17" fillId="2" borderId="28" xfId="0" applyFont="1" applyFill="1" applyBorder="1" applyProtection="1">
      <protection locked="0"/>
    </xf>
    <xf numFmtId="0" fontId="32" fillId="5" borderId="0" xfId="0" applyFont="1" applyFill="1" applyProtection="1">
      <protection locked="0"/>
    </xf>
    <xf numFmtId="0" fontId="31" fillId="5" borderId="0" xfId="0" applyFont="1" applyFill="1" applyProtection="1">
      <protection locked="0"/>
    </xf>
    <xf numFmtId="0" fontId="30" fillId="5" borderId="0" xfId="0" applyFont="1" applyFill="1" applyProtection="1">
      <protection locked="0"/>
    </xf>
    <xf numFmtId="0" fontId="30" fillId="5" borderId="0" xfId="0" applyFont="1" applyFill="1" applyAlignment="1" applyProtection="1">
      <alignment horizontal="left"/>
      <protection locked="0"/>
    </xf>
    <xf numFmtId="0" fontId="17" fillId="5" borderId="0" xfId="0" applyFont="1" applyFill="1" applyProtection="1">
      <protection locked="0"/>
    </xf>
    <xf numFmtId="0" fontId="17" fillId="2" borderId="2" xfId="0" applyFont="1" applyFill="1" applyBorder="1" applyProtection="1">
      <protection locked="0"/>
    </xf>
    <xf numFmtId="164" fontId="32" fillId="5" borderId="0" xfId="0" applyNumberFormat="1" applyFont="1" applyFill="1" applyAlignment="1" applyProtection="1">
      <alignment horizontal="left"/>
      <protection locked="0"/>
    </xf>
    <xf numFmtId="164" fontId="28" fillId="5" borderId="0" xfId="0" applyNumberFormat="1" applyFont="1" applyFill="1" applyAlignment="1" applyProtection="1">
      <alignment horizontal="left"/>
      <protection locked="0"/>
    </xf>
    <xf numFmtId="164" fontId="28" fillId="2" borderId="2" xfId="0" applyNumberFormat="1" applyFont="1" applyFill="1" applyBorder="1" applyAlignment="1" applyProtection="1">
      <alignment horizontal="left"/>
      <protection locked="0"/>
    </xf>
    <xf numFmtId="0" fontId="28" fillId="5" borderId="0" xfId="0" applyFont="1" applyFill="1" applyProtection="1">
      <protection locked="0"/>
    </xf>
    <xf numFmtId="0" fontId="28" fillId="2" borderId="2" xfId="0" applyFont="1" applyFill="1" applyBorder="1" applyProtection="1">
      <protection locked="0"/>
    </xf>
    <xf numFmtId="164" fontId="32" fillId="5" borderId="3" xfId="0" applyNumberFormat="1" applyFont="1" applyFill="1" applyBorder="1" applyAlignment="1" applyProtection="1">
      <alignment horizontal="left"/>
      <protection locked="0"/>
    </xf>
    <xf numFmtId="0" fontId="32" fillId="5" borderId="3" xfId="0" applyFont="1" applyFill="1" applyBorder="1" applyProtection="1">
      <protection locked="0"/>
    </xf>
    <xf numFmtId="0" fontId="30" fillId="5" borderId="3" xfId="0" applyFont="1" applyFill="1" applyBorder="1" applyProtection="1">
      <protection locked="0"/>
    </xf>
    <xf numFmtId="0" fontId="17" fillId="5" borderId="3" xfId="0" applyFont="1" applyFill="1" applyBorder="1" applyProtection="1">
      <protection locked="0"/>
    </xf>
    <xf numFmtId="0" fontId="17" fillId="2" borderId="13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6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35" fillId="6" borderId="1" xfId="0" applyFont="1" applyFill="1" applyBorder="1" applyAlignment="1">
      <alignment horizontal="center"/>
    </xf>
    <xf numFmtId="0" fontId="16" fillId="0" borderId="0" xfId="0" applyFont="1"/>
    <xf numFmtId="0" fontId="0" fillId="15" borderId="0" xfId="0" applyFill="1"/>
    <xf numFmtId="0" fontId="0" fillId="0" borderId="0" xfId="0" applyAlignment="1" applyProtection="1">
      <alignment horizontal="left"/>
      <protection locked="0"/>
    </xf>
    <xf numFmtId="0" fontId="3" fillId="2" borderId="1" xfId="1" applyFont="1" applyFill="1" applyBorder="1" applyAlignment="1" applyProtection="1">
      <alignment horizontal="left"/>
      <protection locked="0"/>
    </xf>
    <xf numFmtId="0" fontId="0" fillId="7" borderId="1" xfId="0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165" fontId="0" fillId="3" borderId="1" xfId="0" applyNumberFormat="1" applyFill="1" applyBorder="1" applyAlignment="1" applyProtection="1">
      <alignment horizontal="center"/>
      <protection locked="0"/>
    </xf>
    <xf numFmtId="165" fontId="49" fillId="3" borderId="1" xfId="0" applyNumberFormat="1" applyFont="1" applyFill="1" applyBorder="1" applyAlignment="1" applyProtection="1">
      <alignment horizontal="center"/>
      <protection locked="0"/>
    </xf>
    <xf numFmtId="165" fontId="0" fillId="3" borderId="28" xfId="0" applyNumberFormat="1" applyFill="1" applyBorder="1" applyAlignment="1" applyProtection="1">
      <alignment horizontal="center"/>
      <protection locked="0"/>
    </xf>
    <xf numFmtId="165" fontId="0" fillId="3" borderId="13" xfId="0" applyNumberFormat="1" applyFill="1" applyBorder="1" applyAlignment="1" applyProtection="1">
      <alignment horizontal="center"/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165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 applyProtection="1">
      <alignment horizontal="center"/>
      <protection locked="0"/>
    </xf>
    <xf numFmtId="0" fontId="0" fillId="18" borderId="1" xfId="0" applyFill="1" applyBorder="1" applyAlignment="1">
      <alignment horizontal="center"/>
    </xf>
    <xf numFmtId="0" fontId="11" fillId="19" borderId="1" xfId="0" applyFont="1" applyFill="1" applyBorder="1" applyProtection="1">
      <protection locked="0"/>
    </xf>
    <xf numFmtId="0" fontId="1" fillId="19" borderId="1" xfId="0" applyFont="1" applyFill="1" applyBorder="1" applyAlignment="1" applyProtection="1">
      <alignment horizontal="right"/>
      <protection locked="0"/>
    </xf>
    <xf numFmtId="0" fontId="59" fillId="0" borderId="0" xfId="0" applyFont="1"/>
    <xf numFmtId="0" fontId="59" fillId="0" borderId="0" xfId="0" applyFont="1" applyProtection="1">
      <protection hidden="1"/>
    </xf>
    <xf numFmtId="0" fontId="59" fillId="16" borderId="0" xfId="0" applyFont="1" applyFill="1"/>
    <xf numFmtId="0" fontId="59" fillId="16" borderId="0" xfId="0" applyFont="1" applyFill="1" applyAlignment="1">
      <alignment horizontal="center"/>
    </xf>
    <xf numFmtId="165" fontId="59" fillId="16" borderId="0" xfId="0" applyNumberFormat="1" applyFont="1" applyFill="1" applyAlignment="1">
      <alignment horizontal="center"/>
    </xf>
    <xf numFmtId="0" fontId="59" fillId="16" borderId="0" xfId="0" applyFont="1" applyFill="1" applyProtection="1">
      <protection hidden="1"/>
    </xf>
    <xf numFmtId="0" fontId="61" fillId="16" borderId="0" xfId="0" applyFont="1" applyFill="1"/>
    <xf numFmtId="0" fontId="61" fillId="16" borderId="0" xfId="0" applyFont="1" applyFill="1" applyAlignment="1">
      <alignment horizontal="center"/>
    </xf>
    <xf numFmtId="165" fontId="61" fillId="16" borderId="0" xfId="0" applyNumberFormat="1" applyFont="1" applyFill="1" applyAlignment="1">
      <alignment horizontal="center"/>
    </xf>
    <xf numFmtId="0" fontId="60" fillId="0" borderId="0" xfId="0" applyFont="1" applyProtection="1">
      <protection hidden="1"/>
    </xf>
    <xf numFmtId="0" fontId="71" fillId="0" borderId="0" xfId="0" applyFont="1"/>
    <xf numFmtId="0" fontId="72" fillId="0" borderId="0" xfId="0" applyFont="1"/>
    <xf numFmtId="0" fontId="74" fillId="16" borderId="0" xfId="7" applyFont="1" applyFill="1" applyBorder="1" applyAlignment="1">
      <alignment horizontal="right"/>
    </xf>
    <xf numFmtId="0" fontId="74" fillId="16" borderId="0" xfId="7" applyFont="1" applyFill="1" applyBorder="1"/>
    <xf numFmtId="0" fontId="74" fillId="16" borderId="0" xfId="7" applyFont="1" applyFill="1" applyBorder="1" applyAlignment="1">
      <alignment horizontal="left"/>
    </xf>
    <xf numFmtId="0" fontId="71" fillId="0" borderId="0" xfId="0" applyFont="1" applyProtection="1">
      <protection hidden="1"/>
    </xf>
    <xf numFmtId="0" fontId="76" fillId="0" borderId="0" xfId="0" applyFont="1"/>
    <xf numFmtId="0" fontId="77" fillId="23" borderId="22" xfId="4" applyFont="1" applyFill="1" applyBorder="1" applyAlignment="1">
      <alignment horizontal="center" vertical="center"/>
    </xf>
    <xf numFmtId="0" fontId="77" fillId="23" borderId="21" xfId="4" applyFont="1" applyFill="1" applyBorder="1" applyAlignment="1">
      <alignment horizontal="center" vertical="center"/>
    </xf>
    <xf numFmtId="0" fontId="71" fillId="0" borderId="0" xfId="0" applyFont="1" applyAlignment="1" applyProtection="1">
      <alignment horizontal="center"/>
      <protection hidden="1"/>
    </xf>
    <xf numFmtId="0" fontId="71" fillId="0" borderId="0" xfId="3" applyNumberFormat="1" applyFont="1" applyProtection="1">
      <protection hidden="1"/>
    </xf>
    <xf numFmtId="0" fontId="71" fillId="17" borderId="0" xfId="0" applyFont="1" applyFill="1" applyAlignment="1" applyProtection="1">
      <alignment horizontal="center"/>
      <protection hidden="1"/>
    </xf>
    <xf numFmtId="0" fontId="75" fillId="0" borderId="0" xfId="0" applyFont="1" applyAlignment="1">
      <alignment horizontal="right"/>
    </xf>
    <xf numFmtId="0" fontId="78" fillId="16" borderId="0" xfId="7" applyNumberFormat="1" applyFont="1" applyFill="1" applyBorder="1" applyProtection="1">
      <protection hidden="1"/>
    </xf>
    <xf numFmtId="0" fontId="78" fillId="16" borderId="0" xfId="7" applyFont="1" applyFill="1" applyBorder="1" applyAlignment="1"/>
    <xf numFmtId="0" fontId="79" fillId="24" borderId="48" xfId="10" applyFont="1" applyFill="1" applyBorder="1" applyAlignment="1">
      <alignment horizontal="center" vertical="center"/>
    </xf>
    <xf numFmtId="0" fontId="79" fillId="24" borderId="47" xfId="10" applyFont="1" applyFill="1" applyBorder="1" applyAlignment="1">
      <alignment horizontal="center" vertical="center"/>
    </xf>
    <xf numFmtId="0" fontId="79" fillId="24" borderId="45" xfId="10" applyFont="1" applyFill="1" applyBorder="1" applyAlignment="1">
      <alignment horizontal="center" vertical="center"/>
    </xf>
    <xf numFmtId="0" fontId="76" fillId="23" borderId="9" xfId="9" applyFont="1" applyFill="1" applyBorder="1" applyAlignment="1">
      <alignment horizontal="center" vertical="center"/>
    </xf>
    <xf numFmtId="0" fontId="76" fillId="23" borderId="2" xfId="9" applyFont="1" applyFill="1" applyBorder="1" applyAlignment="1">
      <alignment horizontal="center" vertical="center"/>
    </xf>
    <xf numFmtId="0" fontId="76" fillId="23" borderId="49" xfId="9" applyFont="1" applyFill="1" applyBorder="1" applyAlignment="1">
      <alignment horizontal="center" vertical="center"/>
    </xf>
    <xf numFmtId="0" fontId="81" fillId="16" borderId="0" xfId="2" applyFont="1" applyFill="1" applyBorder="1" applyAlignment="1">
      <alignment horizontal="center"/>
    </xf>
    <xf numFmtId="165" fontId="81" fillId="16" borderId="0" xfId="2" applyNumberFormat="1" applyFont="1" applyFill="1" applyBorder="1" applyAlignment="1">
      <alignment horizontal="center"/>
    </xf>
    <xf numFmtId="0" fontId="80" fillId="25" borderId="50" xfId="9" applyFont="1" applyFill="1" applyBorder="1" applyAlignment="1">
      <alignment horizontal="center" vertical="center"/>
    </xf>
    <xf numFmtId="0" fontId="77" fillId="0" borderId="39" xfId="5" applyFont="1" applyBorder="1" applyAlignment="1">
      <alignment horizontal="left" vertical="center"/>
    </xf>
    <xf numFmtId="0" fontId="77" fillId="0" borderId="41" xfId="5" applyFont="1" applyBorder="1" applyAlignment="1">
      <alignment horizontal="center" vertical="center"/>
    </xf>
    <xf numFmtId="0" fontId="77" fillId="0" borderId="44" xfId="5" applyFont="1" applyBorder="1" applyAlignment="1">
      <alignment horizontal="left" vertical="center"/>
    </xf>
    <xf numFmtId="0" fontId="77" fillId="0" borderId="43" xfId="5" applyFont="1" applyBorder="1" applyAlignment="1">
      <alignment horizontal="center" vertical="center"/>
    </xf>
    <xf numFmtId="1" fontId="77" fillId="0" borderId="1" xfId="5" applyNumberFormat="1" applyFont="1" applyBorder="1" applyAlignment="1">
      <alignment horizontal="center" vertical="center"/>
    </xf>
    <xf numFmtId="0" fontId="77" fillId="0" borderId="53" xfId="5" applyFont="1" applyBorder="1" applyAlignment="1">
      <alignment horizontal="left" vertical="center"/>
    </xf>
    <xf numFmtId="0" fontId="77" fillId="0" borderId="54" xfId="5" applyFont="1" applyBorder="1" applyAlignment="1">
      <alignment horizontal="center" vertical="center"/>
    </xf>
    <xf numFmtId="0" fontId="82" fillId="0" borderId="0" xfId="0" applyFont="1"/>
    <xf numFmtId="0" fontId="82" fillId="16" borderId="0" xfId="0" applyFont="1" applyFill="1"/>
    <xf numFmtId="0" fontId="83" fillId="0" borderId="0" xfId="0" applyFont="1"/>
    <xf numFmtId="0" fontId="79" fillId="0" borderId="0" xfId="7" applyFont="1" applyBorder="1"/>
    <xf numFmtId="0" fontId="83" fillId="0" borderId="0" xfId="7" applyFont="1" applyBorder="1"/>
    <xf numFmtId="168" fontId="76" fillId="0" borderId="0" xfId="0" applyNumberFormat="1" applyFont="1" applyAlignment="1">
      <alignment horizontal="left" vertical="center"/>
    </xf>
    <xf numFmtId="1" fontId="77" fillId="0" borderId="55" xfId="5" applyNumberFormat="1" applyFont="1" applyBorder="1" applyAlignment="1">
      <alignment horizontal="center" vertical="center"/>
    </xf>
    <xf numFmtId="0" fontId="77" fillId="0" borderId="45" xfId="5" applyFont="1" applyBorder="1" applyAlignment="1">
      <alignment horizontal="center" vertical="center"/>
    </xf>
    <xf numFmtId="0" fontId="77" fillId="16" borderId="44" xfId="8" applyFont="1" applyFill="1" applyBorder="1" applyAlignment="1" applyProtection="1">
      <alignment horizontal="center"/>
    </xf>
    <xf numFmtId="0" fontId="77" fillId="16" borderId="44" xfId="11" quotePrefix="1" applyFont="1" applyFill="1" applyBorder="1" applyAlignment="1" applyProtection="1">
      <alignment horizontal="center"/>
    </xf>
    <xf numFmtId="0" fontId="77" fillId="16" borderId="57" xfId="8" applyFont="1" applyFill="1" applyBorder="1" applyAlignment="1" applyProtection="1">
      <alignment horizontal="center" vertical="center"/>
    </xf>
    <xf numFmtId="0" fontId="77" fillId="16" borderId="42" xfId="8" applyFont="1" applyFill="1" applyBorder="1" applyAlignment="1" applyProtection="1">
      <alignment horizontal="center"/>
    </xf>
    <xf numFmtId="0" fontId="77" fillId="16" borderId="46" xfId="8" applyFont="1" applyFill="1" applyBorder="1" applyAlignment="1" applyProtection="1">
      <alignment horizontal="center"/>
    </xf>
    <xf numFmtId="0" fontId="77" fillId="16" borderId="43" xfId="8" applyFont="1" applyFill="1" applyBorder="1" applyAlignment="1" applyProtection="1">
      <alignment horizontal="center"/>
    </xf>
    <xf numFmtId="0" fontId="77" fillId="16" borderId="43" xfId="11" applyFont="1" applyFill="1" applyBorder="1" applyAlignment="1" applyProtection="1">
      <alignment horizontal="center"/>
    </xf>
    <xf numFmtId="0" fontId="77" fillId="16" borderId="53" xfId="11" quotePrefix="1" applyFont="1" applyFill="1" applyBorder="1" applyAlignment="1" applyProtection="1">
      <alignment horizontal="center"/>
    </xf>
    <xf numFmtId="0" fontId="77" fillId="16" borderId="54" xfId="11" applyFont="1" applyFill="1" applyBorder="1" applyAlignment="1" applyProtection="1">
      <alignment horizontal="center"/>
    </xf>
    <xf numFmtId="0" fontId="77" fillId="16" borderId="48" xfId="11" applyFont="1" applyFill="1" applyBorder="1" applyAlignment="1" applyProtection="1">
      <alignment horizontal="center" vertical="center"/>
    </xf>
    <xf numFmtId="9" fontId="77" fillId="16" borderId="45" xfId="11" applyNumberFormat="1" applyFont="1" applyFill="1" applyBorder="1" applyAlignment="1" applyProtection="1">
      <alignment horizontal="center" vertical="center"/>
    </xf>
    <xf numFmtId="0" fontId="77" fillId="16" borderId="16" xfId="8" applyFont="1" applyFill="1" applyBorder="1" applyAlignment="1" applyProtection="1">
      <alignment horizontal="center" vertical="center"/>
    </xf>
    <xf numFmtId="0" fontId="77" fillId="16" borderId="16" xfId="11" applyFont="1" applyFill="1" applyBorder="1" applyAlignment="1" applyProtection="1">
      <alignment horizontal="center" vertical="center"/>
    </xf>
    <xf numFmtId="0" fontId="77" fillId="16" borderId="5" xfId="11" applyFont="1" applyFill="1" applyBorder="1" applyAlignment="1" applyProtection="1">
      <alignment horizontal="center" vertical="center"/>
    </xf>
    <xf numFmtId="165" fontId="77" fillId="16" borderId="64" xfId="8" applyNumberFormat="1" applyFont="1" applyFill="1" applyBorder="1" applyAlignment="1" applyProtection="1">
      <alignment horizontal="center" vertical="center"/>
    </xf>
    <xf numFmtId="9" fontId="77" fillId="16" borderId="65" xfId="8" applyNumberFormat="1" applyFont="1" applyFill="1" applyBorder="1" applyAlignment="1" applyProtection="1">
      <alignment horizontal="center"/>
    </xf>
    <xf numFmtId="9" fontId="77" fillId="16" borderId="66" xfId="8" applyNumberFormat="1" applyFont="1" applyFill="1" applyBorder="1" applyAlignment="1" applyProtection="1">
      <alignment horizontal="center"/>
    </xf>
    <xf numFmtId="165" fontId="77" fillId="0" borderId="62" xfId="5" applyNumberFormat="1" applyFont="1" applyBorder="1" applyAlignment="1">
      <alignment horizontal="center" vertical="center"/>
    </xf>
    <xf numFmtId="165" fontId="77" fillId="0" borderId="40" xfId="5" applyNumberFormat="1" applyFont="1" applyBorder="1" applyAlignment="1">
      <alignment horizontal="center" vertical="center"/>
    </xf>
    <xf numFmtId="165" fontId="77" fillId="0" borderId="12" xfId="5" applyNumberFormat="1" applyFont="1" applyBorder="1" applyAlignment="1">
      <alignment horizontal="center" vertical="center"/>
    </xf>
    <xf numFmtId="165" fontId="77" fillId="0" borderId="1" xfId="5" applyNumberFormat="1" applyFont="1" applyBorder="1" applyAlignment="1">
      <alignment horizontal="center" vertical="center"/>
    </xf>
    <xf numFmtId="165" fontId="77" fillId="0" borderId="63" xfId="5" applyNumberFormat="1" applyFont="1" applyBorder="1" applyAlignment="1">
      <alignment horizontal="center" vertical="center"/>
    </xf>
    <xf numFmtId="165" fontId="77" fillId="0" borderId="55" xfId="5" applyNumberFormat="1" applyFont="1" applyBorder="1" applyAlignment="1">
      <alignment horizontal="center" vertical="center"/>
    </xf>
    <xf numFmtId="165" fontId="80" fillId="25" borderId="51" xfId="9" applyNumberFormat="1" applyFont="1" applyFill="1" applyBorder="1" applyAlignment="1">
      <alignment horizontal="center" vertical="center"/>
    </xf>
    <xf numFmtId="1" fontId="80" fillId="25" borderId="52" xfId="9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6" fillId="28" borderId="48" xfId="0" applyFont="1" applyFill="1" applyBorder="1" applyAlignment="1">
      <alignment horizontal="center" vertical="center"/>
    </xf>
    <xf numFmtId="0" fontId="86" fillId="28" borderId="47" xfId="0" applyFont="1" applyFill="1" applyBorder="1" applyAlignment="1">
      <alignment horizontal="center" vertical="center"/>
    </xf>
    <xf numFmtId="0" fontId="84" fillId="7" borderId="70" xfId="0" applyFont="1" applyFill="1" applyBorder="1" applyAlignment="1">
      <alignment horizontal="center" vertical="center"/>
    </xf>
    <xf numFmtId="0" fontId="87" fillId="7" borderId="70" xfId="0" applyFont="1" applyFill="1" applyBorder="1" applyAlignment="1">
      <alignment horizontal="left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87" fillId="3" borderId="69" xfId="0" applyFont="1" applyFill="1" applyBorder="1" applyAlignment="1">
      <alignment horizontal="center" vertical="center" wrapText="1"/>
    </xf>
    <xf numFmtId="0" fontId="84" fillId="7" borderId="65" xfId="0" applyFont="1" applyFill="1" applyBorder="1" applyAlignment="1">
      <alignment horizontal="center" vertical="center"/>
    </xf>
    <xf numFmtId="0" fontId="84" fillId="7" borderId="66" xfId="0" applyFont="1" applyFill="1" applyBorder="1" applyAlignment="1">
      <alignment horizontal="center" vertical="center"/>
    </xf>
    <xf numFmtId="2" fontId="84" fillId="7" borderId="65" xfId="0" applyNumberFormat="1" applyFont="1" applyFill="1" applyBorder="1" applyAlignment="1">
      <alignment horizontal="center" vertical="center" wrapText="1"/>
    </xf>
    <xf numFmtId="2" fontId="84" fillId="7" borderId="66" xfId="0" applyNumberFormat="1" applyFont="1" applyFill="1" applyBorder="1" applyAlignment="1">
      <alignment horizontal="center" vertical="center" wrapText="1"/>
    </xf>
    <xf numFmtId="2" fontId="88" fillId="3" borderId="14" xfId="0" applyNumberFormat="1" applyFont="1" applyFill="1" applyBorder="1" applyAlignment="1">
      <alignment horizontal="center" vertical="center"/>
    </xf>
    <xf numFmtId="2" fontId="88" fillId="3" borderId="25" xfId="0" applyNumberFormat="1" applyFont="1" applyFill="1" applyBorder="1" applyAlignment="1">
      <alignment horizontal="center" vertical="center"/>
    </xf>
    <xf numFmtId="0" fontId="89" fillId="0" borderId="0" xfId="0" applyFont="1"/>
    <xf numFmtId="0" fontId="92" fillId="3" borderId="11" xfId="0" applyFont="1" applyFill="1" applyBorder="1" applyAlignment="1">
      <alignment horizontal="center" vertical="center"/>
    </xf>
    <xf numFmtId="0" fontId="92" fillId="7" borderId="11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7" borderId="68" xfId="0" applyFont="1" applyFill="1" applyBorder="1" applyAlignment="1">
      <alignment horizontal="center"/>
    </xf>
    <xf numFmtId="0" fontId="29" fillId="3" borderId="69" xfId="0" applyFont="1" applyFill="1" applyBorder="1" applyAlignment="1">
      <alignment horizontal="center" vertical="center"/>
    </xf>
    <xf numFmtId="0" fontId="90" fillId="7" borderId="65" xfId="0" applyFont="1" applyFill="1" applyBorder="1" applyAlignment="1">
      <alignment horizontal="center"/>
    </xf>
    <xf numFmtId="0" fontId="29" fillId="3" borderId="14" xfId="0" applyFont="1" applyFill="1" applyBorder="1" applyAlignment="1">
      <alignment horizontal="center" vertical="center" wrapText="1"/>
    </xf>
    <xf numFmtId="0" fontId="90" fillId="7" borderId="66" xfId="0" applyFont="1" applyFill="1" applyBorder="1" applyAlignment="1">
      <alignment horizontal="center"/>
    </xf>
    <xf numFmtId="0" fontId="29" fillId="3" borderId="25" xfId="0" applyFont="1" applyFill="1" applyBorder="1" applyAlignment="1">
      <alignment horizontal="center" vertical="center" wrapText="1"/>
    </xf>
    <xf numFmtId="0" fontId="95" fillId="16" borderId="53" xfId="12" applyFont="1" applyFill="1" applyBorder="1" applyAlignment="1">
      <alignment horizontal="center" vertical="center"/>
    </xf>
    <xf numFmtId="0" fontId="95" fillId="16" borderId="55" xfId="12" applyFont="1" applyFill="1" applyBorder="1" applyAlignment="1">
      <alignment horizontal="center" vertical="center"/>
    </xf>
    <xf numFmtId="0" fontId="95" fillId="16" borderId="54" xfId="12" applyFont="1" applyFill="1" applyBorder="1" applyAlignment="1">
      <alignment horizontal="center" vertical="center"/>
    </xf>
    <xf numFmtId="0" fontId="89" fillId="16" borderId="14" xfId="0" applyFont="1" applyFill="1" applyBorder="1" applyAlignment="1">
      <alignment wrapText="1"/>
    </xf>
    <xf numFmtId="0" fontId="89" fillId="16" borderId="25" xfId="0" applyFont="1" applyFill="1" applyBorder="1" applyAlignment="1">
      <alignment horizontal="justify" vertical="center" wrapText="1"/>
    </xf>
    <xf numFmtId="0" fontId="91" fillId="28" borderId="74" xfId="0" applyFont="1" applyFill="1" applyBorder="1" applyAlignment="1">
      <alignment horizontal="center"/>
    </xf>
    <xf numFmtId="0" fontId="91" fillId="16" borderId="44" xfId="0" applyFont="1" applyFill="1" applyBorder="1"/>
    <xf numFmtId="0" fontId="91" fillId="16" borderId="53" xfId="0" applyFont="1" applyFill="1" applyBorder="1"/>
    <xf numFmtId="0" fontId="91" fillId="28" borderId="75" xfId="0" applyFont="1" applyFill="1" applyBorder="1" applyAlignment="1">
      <alignment horizontal="center"/>
    </xf>
    <xf numFmtId="0" fontId="94" fillId="7" borderId="68" xfId="0" applyFont="1" applyFill="1" applyBorder="1" applyAlignment="1">
      <alignment horizontal="justify" vertical="center"/>
    </xf>
    <xf numFmtId="0" fontId="89" fillId="16" borderId="65" xfId="0" applyFont="1" applyFill="1" applyBorder="1"/>
    <xf numFmtId="0" fontId="89" fillId="16" borderId="65" xfId="0" applyFont="1" applyFill="1" applyBorder="1" applyAlignment="1">
      <alignment horizontal="justify" vertical="center"/>
    </xf>
    <xf numFmtId="0" fontId="89" fillId="16" borderId="66" xfId="0" applyFont="1" applyFill="1" applyBorder="1"/>
    <xf numFmtId="0" fontId="94" fillId="7" borderId="68" xfId="0" applyFont="1" applyFill="1" applyBorder="1" applyAlignment="1">
      <alignment wrapText="1"/>
    </xf>
    <xf numFmtId="0" fontId="89" fillId="16" borderId="65" xfId="0" applyFont="1" applyFill="1" applyBorder="1" applyAlignment="1">
      <alignment wrapText="1"/>
    </xf>
    <xf numFmtId="0" fontId="89" fillId="16" borderId="66" xfId="0" applyFont="1" applyFill="1" applyBorder="1" applyAlignment="1">
      <alignment wrapText="1"/>
    </xf>
    <xf numFmtId="0" fontId="94" fillId="7" borderId="69" xfId="0" applyFont="1" applyFill="1" applyBorder="1" applyAlignment="1">
      <alignment horizontal="justify" vertical="center" wrapText="1"/>
    </xf>
    <xf numFmtId="0" fontId="89" fillId="16" borderId="65" xfId="0" applyFont="1" applyFill="1" applyBorder="1" applyAlignment="1">
      <alignment horizontal="justify" vertical="center" wrapText="1"/>
    </xf>
    <xf numFmtId="0" fontId="89" fillId="16" borderId="66" xfId="0" applyFont="1" applyFill="1" applyBorder="1" applyAlignment="1">
      <alignment horizontal="justify" vertical="center" wrapText="1"/>
    </xf>
    <xf numFmtId="0" fontId="91" fillId="16" borderId="73" xfId="0" applyFont="1" applyFill="1" applyBorder="1"/>
    <xf numFmtId="0" fontId="91" fillId="7" borderId="39" xfId="0" applyFont="1" applyFill="1" applyBorder="1"/>
    <xf numFmtId="0" fontId="91" fillId="7" borderId="41" xfId="0" applyFont="1" applyFill="1" applyBorder="1"/>
    <xf numFmtId="0" fontId="90" fillId="28" borderId="67" xfId="0" applyFont="1" applyFill="1" applyBorder="1" applyAlignment="1">
      <alignment horizontal="center" vertical="center"/>
    </xf>
    <xf numFmtId="0" fontId="0" fillId="0" borderId="57" xfId="0" applyBorder="1"/>
    <xf numFmtId="0" fontId="91" fillId="16" borderId="43" xfId="0" applyFont="1" applyFill="1" applyBorder="1" applyAlignment="1">
      <alignment horizontal="center"/>
    </xf>
    <xf numFmtId="0" fontId="92" fillId="3" borderId="15" xfId="0" applyFont="1" applyFill="1" applyBorder="1" applyAlignment="1">
      <alignment horizontal="center" vertical="center"/>
    </xf>
    <xf numFmtId="0" fontId="92" fillId="7" borderId="15" xfId="0" applyFont="1" applyFill="1" applyBorder="1" applyAlignment="1">
      <alignment horizontal="center" vertical="center"/>
    </xf>
    <xf numFmtId="0" fontId="96" fillId="16" borderId="60" xfId="0" applyFont="1" applyFill="1" applyBorder="1" applyAlignment="1">
      <alignment horizontal="left"/>
    </xf>
    <xf numFmtId="0" fontId="96" fillId="16" borderId="0" xfId="0" applyFont="1" applyFill="1" applyAlignment="1">
      <alignment horizontal="left"/>
    </xf>
    <xf numFmtId="0" fontId="92" fillId="3" borderId="77" xfId="0" applyFont="1" applyFill="1" applyBorder="1" applyAlignment="1">
      <alignment horizontal="center" vertical="center"/>
    </xf>
    <xf numFmtId="0" fontId="92" fillId="3" borderId="17" xfId="0" applyFont="1" applyFill="1" applyBorder="1" applyAlignment="1">
      <alignment horizontal="center" vertical="center"/>
    </xf>
    <xf numFmtId="0" fontId="92" fillId="7" borderId="17" xfId="0" applyFont="1" applyFill="1" applyBorder="1" applyAlignment="1">
      <alignment horizontal="center" vertical="center"/>
    </xf>
    <xf numFmtId="0" fontId="92" fillId="7" borderId="77" xfId="0" applyFont="1" applyFill="1" applyBorder="1" applyAlignment="1">
      <alignment horizontal="center" vertical="center"/>
    </xf>
    <xf numFmtId="0" fontId="0" fillId="0" borderId="57" xfId="0" applyBorder="1" applyProtection="1">
      <protection locked="0"/>
    </xf>
    <xf numFmtId="0" fontId="0" fillId="0" borderId="60" xfId="0" applyBorder="1" applyProtection="1">
      <protection locked="0"/>
    </xf>
    <xf numFmtId="0" fontId="92" fillId="7" borderId="26" xfId="0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0" fontId="92" fillId="3" borderId="26" xfId="0" applyFont="1" applyFill="1" applyBorder="1" applyAlignment="1">
      <alignment horizontal="center" vertical="center"/>
    </xf>
    <xf numFmtId="0" fontId="92" fillId="7" borderId="19" xfId="0" applyFont="1" applyFill="1" applyBorder="1" applyAlignment="1">
      <alignment horizontal="center" vertical="center"/>
    </xf>
    <xf numFmtId="0" fontId="92" fillId="3" borderId="24" xfId="0" applyFont="1" applyFill="1" applyBorder="1" applyAlignment="1">
      <alignment horizontal="center" vertical="center"/>
    </xf>
    <xf numFmtId="0" fontId="92" fillId="7" borderId="24" xfId="0" applyFont="1" applyFill="1" applyBorder="1" applyAlignment="1">
      <alignment horizontal="center" vertical="center"/>
    </xf>
    <xf numFmtId="0" fontId="92" fillId="28" borderId="39" xfId="0" applyFont="1" applyFill="1" applyBorder="1" applyAlignment="1">
      <alignment horizontal="center" vertical="center" wrapText="1"/>
    </xf>
    <xf numFmtId="0" fontId="91" fillId="28" borderId="39" xfId="0" applyFont="1" applyFill="1" applyBorder="1" applyAlignment="1" applyProtection="1">
      <alignment horizontal="center" vertical="center"/>
      <protection locked="0"/>
    </xf>
    <xf numFmtId="0" fontId="91" fillId="28" borderId="41" xfId="0" applyFont="1" applyFill="1" applyBorder="1" applyAlignment="1" applyProtection="1">
      <alignment horizontal="center" vertical="center" wrapText="1"/>
      <protection locked="0"/>
    </xf>
    <xf numFmtId="0" fontId="91" fillId="28" borderId="82" xfId="0" applyFont="1" applyFill="1" applyBorder="1" applyAlignment="1">
      <alignment horizontal="center"/>
    </xf>
    <xf numFmtId="0" fontId="89" fillId="7" borderId="70" xfId="0" applyFont="1" applyFill="1" applyBorder="1"/>
    <xf numFmtId="0" fontId="91" fillId="16" borderId="65" xfId="0" applyFont="1" applyFill="1" applyBorder="1"/>
    <xf numFmtId="0" fontId="91" fillId="7" borderId="65" xfId="0" applyFont="1" applyFill="1" applyBorder="1"/>
    <xf numFmtId="0" fontId="91" fillId="16" borderId="66" xfId="0" applyFont="1" applyFill="1" applyBorder="1"/>
    <xf numFmtId="0" fontId="94" fillId="7" borderId="70" xfId="0" applyFont="1" applyFill="1" applyBorder="1" applyAlignment="1">
      <alignment horizontal="justify" vertical="center"/>
    </xf>
    <xf numFmtId="0" fontId="94" fillId="7" borderId="65" xfId="0" applyFont="1" applyFill="1" applyBorder="1" applyAlignment="1">
      <alignment wrapText="1"/>
    </xf>
    <xf numFmtId="0" fontId="94" fillId="7" borderId="65" xfId="0" applyFont="1" applyFill="1" applyBorder="1" applyAlignment="1">
      <alignment horizontal="justify" vertical="center"/>
    </xf>
    <xf numFmtId="0" fontId="94" fillId="7" borderId="65" xfId="0" applyFont="1" applyFill="1" applyBorder="1" applyAlignment="1">
      <alignment horizontal="justify" vertical="center" wrapText="1"/>
    </xf>
    <xf numFmtId="0" fontId="1" fillId="30" borderId="39" xfId="0" applyFont="1" applyFill="1" applyBorder="1" applyAlignment="1">
      <alignment horizontal="center"/>
    </xf>
    <xf numFmtId="0" fontId="18" fillId="30" borderId="40" xfId="0" applyFont="1" applyFill="1" applyBorder="1" applyAlignment="1">
      <alignment horizontal="center"/>
    </xf>
    <xf numFmtId="0" fontId="0" fillId="28" borderId="48" xfId="0" applyFill="1" applyBorder="1" applyAlignment="1">
      <alignment horizontal="center"/>
    </xf>
    <xf numFmtId="0" fontId="0" fillId="28" borderId="47" xfId="0" applyFill="1" applyBorder="1" applyAlignment="1">
      <alignment horizontal="center"/>
    </xf>
    <xf numFmtId="0" fontId="0" fillId="28" borderId="45" xfId="0" applyFill="1" applyBorder="1" applyAlignment="1">
      <alignment horizontal="center"/>
    </xf>
    <xf numFmtId="0" fontId="6" fillId="3" borderId="41" xfId="0" applyFont="1" applyFill="1" applyBorder="1" applyAlignment="1">
      <alignment horizontal="center" wrapText="1"/>
    </xf>
    <xf numFmtId="0" fontId="6" fillId="3" borderId="43" xfId="0" applyFont="1" applyFill="1" applyBorder="1" applyAlignment="1">
      <alignment horizontal="center"/>
    </xf>
    <xf numFmtId="0" fontId="6" fillId="3" borderId="54" xfId="0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18" fillId="7" borderId="39" xfId="0" applyFont="1" applyFill="1" applyBorder="1" applyAlignment="1">
      <alignment horizontal="center"/>
    </xf>
    <xf numFmtId="0" fontId="18" fillId="7" borderId="44" xfId="0" applyFont="1" applyFill="1" applyBorder="1" applyAlignment="1">
      <alignment horizontal="center"/>
    </xf>
    <xf numFmtId="0" fontId="18" fillId="7" borderId="53" xfId="0" applyFont="1" applyFill="1" applyBorder="1" applyAlignment="1">
      <alignment horizontal="center"/>
    </xf>
    <xf numFmtId="0" fontId="33" fillId="7" borderId="1" xfId="0" applyFont="1" applyFill="1" applyBorder="1" applyAlignment="1">
      <alignment wrapText="1"/>
    </xf>
    <xf numFmtId="0" fontId="33" fillId="7" borderId="55" xfId="0" applyFont="1" applyFill="1" applyBorder="1" applyAlignment="1">
      <alignment wrapText="1"/>
    </xf>
    <xf numFmtId="0" fontId="1" fillId="3" borderId="42" xfId="0" applyFont="1" applyFill="1" applyBorder="1" applyAlignment="1">
      <alignment horizontal="center"/>
    </xf>
    <xf numFmtId="0" fontId="33" fillId="7" borderId="13" xfId="0" applyFont="1" applyFill="1" applyBorder="1" applyAlignment="1">
      <alignment wrapText="1"/>
    </xf>
    <xf numFmtId="0" fontId="0" fillId="0" borderId="1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55" xfId="0" applyBorder="1" applyProtection="1">
      <protection locked="0"/>
    </xf>
    <xf numFmtId="0" fontId="91" fillId="3" borderId="40" xfId="0" applyFont="1" applyFill="1" applyBorder="1" applyAlignment="1">
      <alignment horizontal="center" vertical="center"/>
    </xf>
    <xf numFmtId="0" fontId="91" fillId="16" borderId="1" xfId="0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 vertical="center"/>
    </xf>
    <xf numFmtId="0" fontId="91" fillId="16" borderId="55" xfId="0" applyFont="1" applyFill="1" applyBorder="1" applyAlignment="1">
      <alignment horizontal="center" vertical="center"/>
    </xf>
    <xf numFmtId="0" fontId="91" fillId="7" borderId="40" xfId="0" applyFont="1" applyFill="1" applyBorder="1" applyAlignment="1">
      <alignment horizontal="center" vertical="center"/>
    </xf>
    <xf numFmtId="0" fontId="91" fillId="7" borderId="1" xfId="0" applyFont="1" applyFill="1" applyBorder="1" applyAlignment="1">
      <alignment horizontal="center" vertical="center"/>
    </xf>
    <xf numFmtId="0" fontId="91" fillId="3" borderId="39" xfId="0" applyFont="1" applyFill="1" applyBorder="1" applyAlignment="1">
      <alignment horizontal="center" vertical="center"/>
    </xf>
    <xf numFmtId="0" fontId="91" fillId="3" borderId="41" xfId="0" applyFont="1" applyFill="1" applyBorder="1" applyAlignment="1">
      <alignment horizontal="center" vertical="center"/>
    </xf>
    <xf numFmtId="0" fontId="91" fillId="16" borderId="44" xfId="0" applyFont="1" applyFill="1" applyBorder="1" applyAlignment="1">
      <alignment horizontal="center" vertical="center"/>
    </xf>
    <xf numFmtId="0" fontId="91" fillId="16" borderId="43" xfId="0" applyFont="1" applyFill="1" applyBorder="1" applyAlignment="1">
      <alignment horizontal="center" vertical="center"/>
    </xf>
    <xf numFmtId="0" fontId="91" fillId="3" borderId="44" xfId="0" applyFont="1" applyFill="1" applyBorder="1" applyAlignment="1">
      <alignment horizontal="center" vertical="center"/>
    </xf>
    <xf numFmtId="0" fontId="91" fillId="3" borderId="43" xfId="0" applyFont="1" applyFill="1" applyBorder="1" applyAlignment="1">
      <alignment horizontal="center" vertical="center"/>
    </xf>
    <xf numFmtId="0" fontId="91" fillId="16" borderId="53" xfId="0" applyFont="1" applyFill="1" applyBorder="1" applyAlignment="1">
      <alignment horizontal="center" vertical="center"/>
    </xf>
    <xf numFmtId="0" fontId="91" fillId="16" borderId="54" xfId="0" applyFont="1" applyFill="1" applyBorder="1" applyAlignment="1">
      <alignment horizontal="center" vertical="center"/>
    </xf>
    <xf numFmtId="0" fontId="91" fillId="7" borderId="39" xfId="0" applyFont="1" applyFill="1" applyBorder="1" applyAlignment="1">
      <alignment horizontal="center" vertical="center"/>
    </xf>
    <xf numFmtId="0" fontId="91" fillId="7" borderId="41" xfId="0" applyFont="1" applyFill="1" applyBorder="1" applyAlignment="1">
      <alignment horizontal="center" vertical="center"/>
    </xf>
    <xf numFmtId="0" fontId="91" fillId="7" borderId="44" xfId="0" applyFont="1" applyFill="1" applyBorder="1" applyAlignment="1">
      <alignment horizontal="center" vertical="center"/>
    </xf>
    <xf numFmtId="0" fontId="91" fillId="7" borderId="43" xfId="0" applyFont="1" applyFill="1" applyBorder="1" applyAlignment="1">
      <alignment horizontal="center" vertical="center"/>
    </xf>
    <xf numFmtId="0" fontId="91" fillId="7" borderId="39" xfId="12" applyFont="1" applyFill="1" applyBorder="1" applyAlignment="1">
      <alignment horizontal="center" vertical="center"/>
    </xf>
    <xf numFmtId="0" fontId="91" fillId="7" borderId="40" xfId="12" applyFont="1" applyFill="1" applyBorder="1" applyAlignment="1">
      <alignment horizontal="center" vertical="center"/>
    </xf>
    <xf numFmtId="0" fontId="91" fillId="7" borderId="41" xfId="12" applyFont="1" applyFill="1" applyBorder="1" applyAlignment="1">
      <alignment horizontal="center" vertical="center"/>
    </xf>
    <xf numFmtId="0" fontId="91" fillId="16" borderId="44" xfId="12" applyFont="1" applyFill="1" applyBorder="1" applyAlignment="1">
      <alignment horizontal="center" vertical="center"/>
    </xf>
    <xf numFmtId="0" fontId="91" fillId="16" borderId="1" xfId="12" applyFont="1" applyFill="1" applyBorder="1" applyAlignment="1">
      <alignment horizontal="center" vertical="center"/>
    </xf>
    <xf numFmtId="0" fontId="91" fillId="16" borderId="43" xfId="12" applyFont="1" applyFill="1" applyBorder="1" applyAlignment="1">
      <alignment horizontal="center" vertical="center"/>
    </xf>
    <xf numFmtId="0" fontId="91" fillId="7" borderId="44" xfId="12" applyFont="1" applyFill="1" applyBorder="1" applyAlignment="1">
      <alignment horizontal="center" vertical="center"/>
    </xf>
    <xf numFmtId="0" fontId="91" fillId="7" borderId="1" xfId="12" applyFont="1" applyFill="1" applyBorder="1" applyAlignment="1">
      <alignment horizontal="center" vertical="center"/>
    </xf>
    <xf numFmtId="0" fontId="91" fillId="7" borderId="43" xfId="12" applyFont="1" applyFill="1" applyBorder="1" applyAlignment="1">
      <alignment horizontal="center" vertical="center"/>
    </xf>
    <xf numFmtId="0" fontId="91" fillId="16" borderId="28" xfId="12" applyFont="1" applyFill="1" applyBorder="1" applyAlignment="1">
      <alignment horizontal="center" vertical="center"/>
    </xf>
    <xf numFmtId="0" fontId="89" fillId="7" borderId="68" xfId="0" applyFont="1" applyFill="1" applyBorder="1"/>
    <xf numFmtId="0" fontId="93" fillId="7" borderId="19" xfId="0" applyFont="1" applyFill="1" applyBorder="1" applyAlignment="1">
      <alignment horizontal="center" vertical="center" wrapText="1"/>
    </xf>
    <xf numFmtId="0" fontId="93" fillId="7" borderId="22" xfId="0" applyFont="1" applyFill="1" applyBorder="1" applyAlignment="1">
      <alignment horizontal="center" vertical="center" wrapText="1"/>
    </xf>
    <xf numFmtId="0" fontId="1" fillId="0" borderId="70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91" fillId="28" borderId="82" xfId="0" applyFont="1" applyFill="1" applyBorder="1" applyAlignment="1">
      <alignment horizontal="center" vertical="center"/>
    </xf>
    <xf numFmtId="0" fontId="91" fillId="28" borderId="72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91" fillId="31" borderId="82" xfId="0" applyFont="1" applyFill="1" applyBorder="1" applyAlignment="1">
      <alignment horizontal="center" vertical="center"/>
    </xf>
    <xf numFmtId="0" fontId="91" fillId="31" borderId="64" xfId="0" applyFont="1" applyFill="1" applyBorder="1" applyAlignment="1">
      <alignment horizontal="center" vertical="center"/>
    </xf>
    <xf numFmtId="0" fontId="91" fillId="31" borderId="22" xfId="0" applyFont="1" applyFill="1" applyBorder="1" applyAlignment="1">
      <alignment horizontal="center" vertical="center"/>
    </xf>
    <xf numFmtId="0" fontId="91" fillId="31" borderId="5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4" fillId="7" borderId="70" xfId="0" applyFont="1" applyFill="1" applyBorder="1" applyAlignment="1">
      <alignment horizontal="center" wrapText="1"/>
    </xf>
    <xf numFmtId="0" fontId="94" fillId="7" borderId="77" xfId="0" applyFont="1" applyFill="1" applyBorder="1" applyAlignment="1">
      <alignment horizontal="center" wrapText="1"/>
    </xf>
    <xf numFmtId="0" fontId="91" fillId="16" borderId="80" xfId="0" applyFont="1" applyFill="1" applyBorder="1"/>
    <xf numFmtId="0" fontId="89" fillId="16" borderId="80" xfId="0" applyFont="1" applyFill="1" applyBorder="1"/>
    <xf numFmtId="0" fontId="1" fillId="0" borderId="80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94" fillId="7" borderId="3" xfId="0" applyFont="1" applyFill="1" applyBorder="1" applyAlignment="1">
      <alignment horizontal="center" vertical="center"/>
    </xf>
    <xf numFmtId="0" fontId="91" fillId="7" borderId="68" xfId="0" applyFont="1" applyFill="1" applyBorder="1"/>
    <xf numFmtId="0" fontId="94" fillId="7" borderId="20" xfId="0" applyFont="1" applyFill="1" applyBorder="1" applyAlignment="1">
      <alignment horizontal="center" wrapText="1"/>
    </xf>
    <xf numFmtId="0" fontId="94" fillId="7" borderId="68" xfId="0" applyFont="1" applyFill="1" applyBorder="1" applyAlignment="1">
      <alignment horizontal="center" wrapText="1"/>
    </xf>
    <xf numFmtId="0" fontId="94" fillId="7" borderId="19" xfId="0" applyFont="1" applyFill="1" applyBorder="1" applyAlignment="1">
      <alignment horizontal="center" wrapText="1"/>
    </xf>
    <xf numFmtId="0" fontId="94" fillId="7" borderId="20" xfId="0" applyFont="1" applyFill="1" applyBorder="1" applyAlignment="1">
      <alignment horizontal="center" vertical="center"/>
    </xf>
    <xf numFmtId="0" fontId="91" fillId="16" borderId="20" xfId="0" applyFont="1" applyFill="1" applyBorder="1" applyAlignment="1">
      <alignment horizontal="center"/>
    </xf>
    <xf numFmtId="0" fontId="91" fillId="16" borderId="16" xfId="0" applyFont="1" applyFill="1" applyBorder="1" applyAlignment="1">
      <alignment horizontal="center"/>
    </xf>
    <xf numFmtId="0" fontId="91" fillId="16" borderId="5" xfId="0" applyFont="1" applyFill="1" applyBorder="1" applyAlignment="1">
      <alignment horizontal="center"/>
    </xf>
    <xf numFmtId="0" fontId="91" fillId="16" borderId="27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99" fillId="0" borderId="0" xfId="0" applyFont="1" applyAlignment="1">
      <alignment horizontal="center" vertical="center"/>
    </xf>
    <xf numFmtId="0" fontId="90" fillId="7" borderId="65" xfId="0" applyFont="1" applyFill="1" applyBorder="1" applyAlignment="1">
      <alignment horizontal="center" wrapText="1"/>
    </xf>
    <xf numFmtId="0" fontId="89" fillId="16" borderId="70" xfId="0" applyFont="1" applyFill="1" applyBorder="1"/>
    <xf numFmtId="0" fontId="94" fillId="7" borderId="82" xfId="0" applyFont="1" applyFill="1" applyBorder="1" applyAlignment="1">
      <alignment horizontal="justify" vertical="center"/>
    </xf>
    <xf numFmtId="0" fontId="89" fillId="16" borderId="70" xfId="0" applyFont="1" applyFill="1" applyBorder="1" applyAlignment="1">
      <alignment horizontal="justify" vertical="center" wrapText="1"/>
    </xf>
    <xf numFmtId="0" fontId="91" fillId="16" borderId="3" xfId="0" applyFont="1" applyFill="1" applyBorder="1" applyAlignment="1">
      <alignment horizontal="center"/>
    </xf>
    <xf numFmtId="0" fontId="0" fillId="0" borderId="77" xfId="0" applyBorder="1" applyAlignment="1">
      <alignment horizontal="center" vertical="center"/>
    </xf>
    <xf numFmtId="0" fontId="91" fillId="7" borderId="77" xfId="0" applyFont="1" applyFill="1" applyBorder="1"/>
    <xf numFmtId="0" fontId="94" fillId="7" borderId="46" xfId="0" applyFont="1" applyFill="1" applyBorder="1" applyAlignment="1">
      <alignment wrapText="1"/>
    </xf>
    <xf numFmtId="0" fontId="94" fillId="7" borderId="68" xfId="0" applyFont="1" applyFill="1" applyBorder="1" applyAlignment="1">
      <alignment horizontal="justify" vertical="center" wrapText="1"/>
    </xf>
    <xf numFmtId="0" fontId="0" fillId="3" borderId="28" xfId="0" applyFill="1" applyBorder="1" applyAlignment="1" applyProtection="1">
      <alignment horizontal="center"/>
      <protection locked="0"/>
    </xf>
    <xf numFmtId="0" fontId="0" fillId="6" borderId="47" xfId="0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1" fillId="4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89" fillId="0" borderId="1" xfId="0" applyFont="1" applyBorder="1"/>
    <xf numFmtId="0" fontId="89" fillId="4" borderId="0" xfId="0" applyFont="1" applyFill="1" applyAlignment="1">
      <alignment horizontal="center"/>
    </xf>
    <xf numFmtId="0" fontId="89" fillId="0" borderId="1" xfId="0" applyFont="1" applyBorder="1" applyAlignment="1">
      <alignment horizontal="center"/>
    </xf>
    <xf numFmtId="0" fontId="91" fillId="0" borderId="67" xfId="0" applyFont="1" applyBorder="1" applyAlignment="1">
      <alignment horizontal="center"/>
    </xf>
    <xf numFmtId="0" fontId="91" fillId="0" borderId="86" xfId="0" applyFont="1" applyBorder="1" applyAlignment="1">
      <alignment horizontal="center"/>
    </xf>
    <xf numFmtId="0" fontId="91" fillId="0" borderId="67" xfId="0" applyFont="1" applyBorder="1"/>
    <xf numFmtId="0" fontId="91" fillId="0" borderId="75" xfId="0" applyFont="1" applyBorder="1" applyAlignment="1">
      <alignment horizontal="center"/>
    </xf>
    <xf numFmtId="0" fontId="91" fillId="32" borderId="39" xfId="0" applyFont="1" applyFill="1" applyBorder="1" applyAlignment="1">
      <alignment horizontal="center"/>
    </xf>
    <xf numFmtId="0" fontId="89" fillId="0" borderId="17" xfId="0" applyFont="1" applyBorder="1" applyAlignment="1">
      <alignment horizontal="center"/>
    </xf>
    <xf numFmtId="0" fontId="91" fillId="32" borderId="39" xfId="0" applyFont="1" applyFill="1" applyBorder="1"/>
    <xf numFmtId="0" fontId="89" fillId="0" borderId="41" xfId="0" applyFont="1" applyBorder="1" applyAlignment="1">
      <alignment horizontal="center"/>
    </xf>
    <xf numFmtId="0" fontId="91" fillId="32" borderId="44" xfId="0" applyFont="1" applyFill="1" applyBorder="1" applyAlignment="1">
      <alignment horizontal="center"/>
    </xf>
    <xf numFmtId="0" fontId="89" fillId="0" borderId="11" xfId="0" applyFont="1" applyBorder="1" applyAlignment="1">
      <alignment horizontal="center"/>
    </xf>
    <xf numFmtId="0" fontId="91" fillId="32" borderId="44" xfId="0" applyFont="1" applyFill="1" applyBorder="1"/>
    <xf numFmtId="0" fontId="91" fillId="32" borderId="53" xfId="0" applyFont="1" applyFill="1" applyBorder="1"/>
    <xf numFmtId="0" fontId="89" fillId="0" borderId="54" xfId="0" applyFont="1" applyBorder="1" applyAlignment="1">
      <alignment horizontal="center"/>
    </xf>
    <xf numFmtId="0" fontId="91" fillId="32" borderId="53" xfId="0" applyFont="1" applyFill="1" applyBorder="1" applyAlignment="1">
      <alignment horizontal="center"/>
    </xf>
    <xf numFmtId="0" fontId="89" fillId="0" borderId="24" xfId="0" applyFont="1" applyBorder="1" applyAlignment="1">
      <alignment horizontal="center"/>
    </xf>
    <xf numFmtId="2" fontId="89" fillId="5" borderId="82" xfId="0" applyNumberFormat="1" applyFont="1" applyFill="1" applyBorder="1" applyAlignment="1">
      <alignment horizontal="center" vertical="center" wrapText="1"/>
    </xf>
    <xf numFmtId="0" fontId="91" fillId="0" borderId="75" xfId="0" applyFont="1" applyBorder="1"/>
    <xf numFmtId="0" fontId="89" fillId="0" borderId="43" xfId="0" applyFont="1" applyBorder="1" applyAlignment="1">
      <alignment horizontal="center"/>
    </xf>
    <xf numFmtId="0" fontId="89" fillId="0" borderId="41" xfId="0" applyFont="1" applyBorder="1" applyAlignment="1">
      <alignment horizontal="center" vertical="center"/>
    </xf>
    <xf numFmtId="0" fontId="89" fillId="0" borderId="43" xfId="0" applyFont="1" applyBorder="1" applyAlignment="1">
      <alignment horizontal="center" vertical="center"/>
    </xf>
    <xf numFmtId="0" fontId="89" fillId="0" borderId="54" xfId="0" applyFont="1" applyBorder="1" applyAlignment="1">
      <alignment horizontal="center" vertical="center"/>
    </xf>
    <xf numFmtId="0" fontId="91" fillId="32" borderId="53" xfId="0" applyFont="1" applyFill="1" applyBorder="1" applyAlignment="1">
      <alignment horizontal="center" vertical="center"/>
    </xf>
    <xf numFmtId="0" fontId="91" fillId="32" borderId="39" xfId="0" applyFont="1" applyFill="1" applyBorder="1" applyAlignment="1">
      <alignment horizontal="center" vertical="center"/>
    </xf>
    <xf numFmtId="0" fontId="103" fillId="28" borderId="48" xfId="0" applyFont="1" applyFill="1" applyBorder="1" applyAlignment="1">
      <alignment horizontal="center" vertical="center"/>
    </xf>
    <xf numFmtId="0" fontId="91" fillId="0" borderId="42" xfId="0" applyFont="1" applyBorder="1" applyAlignment="1">
      <alignment vertical="top"/>
    </xf>
    <xf numFmtId="0" fontId="91" fillId="0" borderId="44" xfId="0" applyFont="1" applyBorder="1" applyAlignment="1">
      <alignment vertical="top"/>
    </xf>
    <xf numFmtId="0" fontId="91" fillId="0" borderId="73" xfId="0" applyFont="1" applyBorder="1" applyAlignment="1">
      <alignment vertical="top"/>
    </xf>
    <xf numFmtId="0" fontId="29" fillId="9" borderId="56" xfId="0" applyFont="1" applyFill="1" applyBorder="1" applyAlignment="1">
      <alignment horizontal="left" vertical="center" wrapText="1"/>
    </xf>
    <xf numFmtId="0" fontId="29" fillId="9" borderId="57" xfId="0" applyFont="1" applyFill="1" applyBorder="1" applyAlignment="1">
      <alignment horizontal="left" vertical="center" wrapText="1"/>
    </xf>
    <xf numFmtId="0" fontId="29" fillId="9" borderId="58" xfId="0" applyFont="1" applyFill="1" applyBorder="1" applyAlignment="1">
      <alignment horizontal="left" vertical="center" wrapText="1"/>
    </xf>
    <xf numFmtId="0" fontId="29" fillId="9" borderId="59" xfId="0" applyFont="1" applyFill="1" applyBorder="1" applyAlignment="1">
      <alignment horizontal="left" vertical="center" wrapText="1"/>
    </xf>
    <xf numFmtId="0" fontId="29" fillId="9" borderId="60" xfId="0" applyFont="1" applyFill="1" applyBorder="1" applyAlignment="1">
      <alignment horizontal="left" vertical="center" wrapText="1"/>
    </xf>
    <xf numFmtId="0" fontId="29" fillId="9" borderId="61" xfId="0" applyFont="1" applyFill="1" applyBorder="1" applyAlignment="1">
      <alignment horizontal="left" vertical="center" wrapText="1"/>
    </xf>
    <xf numFmtId="0" fontId="58" fillId="9" borderId="56" xfId="0" applyFont="1" applyFill="1" applyBorder="1" applyAlignment="1">
      <alignment horizontal="center" vertical="center"/>
    </xf>
    <xf numFmtId="0" fontId="58" fillId="9" borderId="59" xfId="0" applyFont="1" applyFill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58" xfId="0" applyFont="1" applyFill="1" applyBorder="1" applyAlignment="1">
      <alignment horizontal="center" vertical="center"/>
    </xf>
    <xf numFmtId="0" fontId="27" fillId="2" borderId="59" xfId="0" applyFont="1" applyFill="1" applyBorder="1" applyAlignment="1">
      <alignment horizontal="center" vertical="center"/>
    </xf>
    <xf numFmtId="0" fontId="27" fillId="2" borderId="60" xfId="0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/>
    </xf>
    <xf numFmtId="0" fontId="20" fillId="6" borderId="39" xfId="0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20" fillId="6" borderId="43" xfId="0" applyFont="1" applyFill="1" applyBorder="1" applyAlignment="1">
      <alignment horizontal="left"/>
    </xf>
    <xf numFmtId="0" fontId="20" fillId="6" borderId="53" xfId="0" applyFont="1" applyFill="1" applyBorder="1" applyAlignment="1">
      <alignment horizontal="left"/>
    </xf>
    <xf numFmtId="0" fontId="20" fillId="6" borderId="55" xfId="0" applyFont="1" applyFill="1" applyBorder="1" applyAlignment="1">
      <alignment horizontal="left"/>
    </xf>
    <xf numFmtId="0" fontId="20" fillId="6" borderId="54" xfId="0" applyFont="1" applyFill="1" applyBorder="1" applyAlignment="1">
      <alignment horizontal="left"/>
    </xf>
    <xf numFmtId="0" fontId="68" fillId="2" borderId="22" xfId="0" applyFont="1" applyFill="1" applyBorder="1" applyAlignment="1">
      <alignment horizontal="center" vertical="top" wrapText="1"/>
    </xf>
    <xf numFmtId="0" fontId="68" fillId="2" borderId="23" xfId="0" applyFont="1" applyFill="1" applyBorder="1" applyAlignment="1">
      <alignment horizontal="center" vertical="top" wrapText="1"/>
    </xf>
    <xf numFmtId="0" fontId="32" fillId="6" borderId="19" xfId="0" applyFont="1" applyFill="1" applyBorder="1" applyAlignment="1">
      <alignment horizontal="center" vertical="top" wrapText="1"/>
    </xf>
    <xf numFmtId="0" fontId="32" fillId="6" borderId="20" xfId="0" applyFont="1" applyFill="1" applyBorder="1" applyAlignment="1">
      <alignment horizontal="center" vertical="top" wrapText="1"/>
    </xf>
    <xf numFmtId="0" fontId="32" fillId="6" borderId="15" xfId="0" applyFont="1" applyFill="1" applyBorder="1" applyAlignment="1">
      <alignment horizontal="center" vertical="top" wrapText="1"/>
    </xf>
    <xf numFmtId="0" fontId="32" fillId="6" borderId="16" xfId="0" applyFont="1" applyFill="1" applyBorder="1" applyAlignment="1">
      <alignment horizontal="center" vertical="top" wrapText="1"/>
    </xf>
    <xf numFmtId="0" fontId="20" fillId="6" borderId="39" xfId="0" applyFont="1" applyFill="1" applyBorder="1" applyAlignment="1">
      <alignment horizontal="left"/>
    </xf>
    <xf numFmtId="0" fontId="20" fillId="6" borderId="40" xfId="0" applyFont="1" applyFill="1" applyBorder="1" applyAlignment="1">
      <alignment horizontal="left"/>
    </xf>
    <xf numFmtId="0" fontId="20" fillId="6" borderId="41" xfId="0" applyFont="1" applyFill="1" applyBorder="1" applyAlignment="1">
      <alignment horizontal="left"/>
    </xf>
    <xf numFmtId="0" fontId="67" fillId="2" borderId="22" xfId="0" applyFont="1" applyFill="1" applyBorder="1" applyAlignment="1">
      <alignment horizontal="center" vertical="center" wrapText="1"/>
    </xf>
    <xf numFmtId="0" fontId="67" fillId="2" borderId="23" xfId="0" applyFont="1" applyFill="1" applyBorder="1" applyAlignment="1">
      <alignment horizontal="center" vertical="center" wrapText="1"/>
    </xf>
    <xf numFmtId="0" fontId="67" fillId="2" borderId="21" xfId="0" applyFont="1" applyFill="1" applyBorder="1" applyAlignment="1">
      <alignment horizontal="center" vertical="center" wrapText="1"/>
    </xf>
    <xf numFmtId="0" fontId="69" fillId="2" borderId="22" xfId="0" applyFont="1" applyFill="1" applyBorder="1" applyAlignment="1">
      <alignment horizontal="center" vertical="center"/>
    </xf>
    <xf numFmtId="0" fontId="69" fillId="2" borderId="23" xfId="0" applyFont="1" applyFill="1" applyBorder="1" applyAlignment="1">
      <alignment horizontal="center" vertical="center"/>
    </xf>
    <xf numFmtId="0" fontId="69" fillId="2" borderId="21" xfId="0" applyFont="1" applyFill="1" applyBorder="1" applyAlignment="1">
      <alignment horizontal="center" vertical="center"/>
    </xf>
    <xf numFmtId="0" fontId="32" fillId="6" borderId="26" xfId="0" applyFont="1" applyFill="1" applyBorder="1" applyAlignment="1">
      <alignment horizontal="center" vertical="top" wrapText="1"/>
    </xf>
    <xf numFmtId="0" fontId="32" fillId="6" borderId="27" xfId="0" applyFont="1" applyFill="1" applyBorder="1" applyAlignment="1">
      <alignment horizontal="center" vertical="top" wrapText="1"/>
    </xf>
    <xf numFmtId="0" fontId="1" fillId="30" borderId="17" xfId="0" applyFont="1" applyFill="1" applyBorder="1" applyAlignment="1">
      <alignment horizontal="center"/>
    </xf>
    <xf numFmtId="0" fontId="0" fillId="30" borderId="1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91" fillId="16" borderId="44" xfId="0" applyFont="1" applyFill="1" applyBorder="1" applyAlignment="1">
      <alignment horizontal="center"/>
    </xf>
    <xf numFmtId="0" fontId="91" fillId="16" borderId="43" xfId="0" applyFont="1" applyFill="1" applyBorder="1" applyAlignment="1">
      <alignment horizontal="center"/>
    </xf>
    <xf numFmtId="0" fontId="91" fillId="7" borderId="44" xfId="0" applyFont="1" applyFill="1" applyBorder="1" applyAlignment="1">
      <alignment horizontal="center"/>
    </xf>
    <xf numFmtId="0" fontId="91" fillId="7" borderId="43" xfId="0" applyFont="1" applyFill="1" applyBorder="1" applyAlignment="1">
      <alignment horizontal="center"/>
    </xf>
    <xf numFmtId="0" fontId="91" fillId="28" borderId="48" xfId="0" applyFont="1" applyFill="1" applyBorder="1" applyAlignment="1">
      <alignment horizontal="center"/>
    </xf>
    <xf numFmtId="0" fontId="91" fillId="28" borderId="45" xfId="0" applyFont="1" applyFill="1" applyBorder="1" applyAlignment="1">
      <alignment horizontal="center"/>
    </xf>
    <xf numFmtId="0" fontId="93" fillId="7" borderId="19" xfId="0" applyFont="1" applyFill="1" applyBorder="1" applyAlignment="1">
      <alignment horizontal="center" wrapText="1"/>
    </xf>
    <xf numFmtId="0" fontId="93" fillId="7" borderId="18" xfId="0" applyFont="1" applyFill="1" applyBorder="1" applyAlignment="1">
      <alignment horizontal="center" wrapText="1"/>
    </xf>
    <xf numFmtId="0" fontId="91" fillId="16" borderId="53" xfId="0" applyFont="1" applyFill="1" applyBorder="1" applyAlignment="1">
      <alignment horizontal="center"/>
    </xf>
    <xf numFmtId="0" fontId="91" fillId="16" borderId="54" xfId="0" applyFont="1" applyFill="1" applyBorder="1" applyAlignment="1">
      <alignment horizontal="center"/>
    </xf>
    <xf numFmtId="0" fontId="66" fillId="0" borderId="9" xfId="0" applyFont="1" applyBorder="1" applyAlignment="1" applyProtection="1">
      <alignment horizontal="left" vertical="center"/>
      <protection locked="0"/>
    </xf>
    <xf numFmtId="0" fontId="92" fillId="28" borderId="68" xfId="0" applyFont="1" applyFill="1" applyBorder="1" applyAlignment="1">
      <alignment horizontal="center" vertical="center" wrapText="1"/>
    </xf>
    <xf numFmtId="0" fontId="92" fillId="28" borderId="80" xfId="0" applyFont="1" applyFill="1" applyBorder="1" applyAlignment="1">
      <alignment horizontal="center" vertical="center" wrapText="1"/>
    </xf>
    <xf numFmtId="0" fontId="92" fillId="3" borderId="39" xfId="0" applyFont="1" applyFill="1" applyBorder="1" applyAlignment="1">
      <alignment horizontal="center" vertical="center"/>
    </xf>
    <xf numFmtId="0" fontId="92" fillId="3" borderId="44" xfId="0" applyFont="1" applyFill="1" applyBorder="1" applyAlignment="1">
      <alignment horizontal="center" vertical="center"/>
    </xf>
    <xf numFmtId="0" fontId="92" fillId="7" borderId="39" xfId="12" applyFont="1" applyFill="1" applyBorder="1" applyAlignment="1">
      <alignment horizontal="center" vertical="center"/>
    </xf>
    <xf numFmtId="0" fontId="92" fillId="7" borderId="73" xfId="12" applyFont="1" applyFill="1" applyBorder="1" applyAlignment="1">
      <alignment horizontal="center" vertical="center"/>
    </xf>
    <xf numFmtId="0" fontId="92" fillId="7" borderId="53" xfId="12" applyFont="1" applyFill="1" applyBorder="1" applyAlignment="1">
      <alignment horizontal="center" vertical="center"/>
    </xf>
    <xf numFmtId="0" fontId="97" fillId="29" borderId="19" xfId="14" applyBorder="1" applyAlignment="1" applyProtection="1">
      <alignment horizontal="center" vertical="center" wrapText="1"/>
      <protection locked="0"/>
    </xf>
    <xf numFmtId="0" fontId="97" fillId="29" borderId="20" xfId="14" applyBorder="1" applyAlignment="1" applyProtection="1">
      <alignment horizontal="center" vertical="center" wrapText="1"/>
      <protection locked="0"/>
    </xf>
    <xf numFmtId="0" fontId="97" fillId="29" borderId="18" xfId="14" applyBorder="1" applyAlignment="1" applyProtection="1">
      <alignment horizontal="center" vertical="center" wrapText="1"/>
      <protection locked="0"/>
    </xf>
    <xf numFmtId="0" fontId="98" fillId="0" borderId="73" xfId="0" applyFont="1" applyBorder="1" applyAlignment="1" applyProtection="1">
      <alignment horizontal="center"/>
      <protection locked="0"/>
    </xf>
    <xf numFmtId="0" fontId="98" fillId="0" borderId="28" xfId="0" applyFont="1" applyBorder="1" applyAlignment="1" applyProtection="1">
      <alignment horizontal="center"/>
      <protection locked="0"/>
    </xf>
    <xf numFmtId="0" fontId="98" fillId="0" borderId="83" xfId="0" applyFont="1" applyBorder="1" applyAlignment="1" applyProtection="1">
      <alignment horizontal="center"/>
      <protection locked="0"/>
    </xf>
    <xf numFmtId="0" fontId="92" fillId="3" borderId="53" xfId="0" applyFont="1" applyFill="1" applyBorder="1" applyAlignment="1">
      <alignment horizontal="center" vertical="center"/>
    </xf>
    <xf numFmtId="0" fontId="92" fillId="7" borderId="39" xfId="0" applyFont="1" applyFill="1" applyBorder="1" applyAlignment="1">
      <alignment horizontal="center" vertical="center"/>
    </xf>
    <xf numFmtId="0" fontId="92" fillId="7" borderId="44" xfId="0" applyFont="1" applyFill="1" applyBorder="1" applyAlignment="1">
      <alignment horizontal="center" vertical="center"/>
    </xf>
    <xf numFmtId="0" fontId="92" fillId="7" borderId="53" xfId="0" applyFont="1" applyFill="1" applyBorder="1" applyAlignment="1">
      <alignment horizontal="center" vertical="center"/>
    </xf>
    <xf numFmtId="0" fontId="91" fillId="28" borderId="39" xfId="0" applyFont="1" applyFill="1" applyBorder="1" applyAlignment="1" applyProtection="1">
      <alignment horizontal="center" vertical="center"/>
      <protection locked="0"/>
    </xf>
    <xf numFmtId="0" fontId="91" fillId="28" borderId="73" xfId="0" applyFont="1" applyFill="1" applyBorder="1" applyAlignment="1" applyProtection="1">
      <alignment horizontal="center" vertical="center"/>
      <protection locked="0"/>
    </xf>
    <xf numFmtId="0" fontId="91" fillId="28" borderId="41" xfId="0" applyFont="1" applyFill="1" applyBorder="1" applyAlignment="1" applyProtection="1">
      <alignment horizontal="center" vertical="center" wrapText="1"/>
      <protection locked="0"/>
    </xf>
    <xf numFmtId="0" fontId="91" fillId="28" borderId="83" xfId="0" applyFont="1" applyFill="1" applyBorder="1" applyAlignment="1" applyProtection="1">
      <alignment horizontal="center" vertical="center" wrapText="1"/>
      <protection locked="0"/>
    </xf>
    <xf numFmtId="0" fontId="98" fillId="3" borderId="40" xfId="0" applyFont="1" applyFill="1" applyBorder="1" applyAlignment="1">
      <alignment horizontal="center" vertical="center"/>
    </xf>
    <xf numFmtId="0" fontId="98" fillId="3" borderId="1" xfId="0" applyFont="1" applyFill="1" applyBorder="1" applyAlignment="1">
      <alignment horizontal="center" vertical="center"/>
    </xf>
    <xf numFmtId="0" fontId="98" fillId="3" borderId="41" xfId="0" applyFont="1" applyFill="1" applyBorder="1" applyAlignment="1">
      <alignment horizontal="center" vertical="center"/>
    </xf>
    <xf numFmtId="0" fontId="98" fillId="3" borderId="43" xfId="0" applyFont="1" applyFill="1" applyBorder="1" applyAlignment="1">
      <alignment horizontal="center" vertical="center"/>
    </xf>
    <xf numFmtId="0" fontId="98" fillId="3" borderId="55" xfId="0" applyFont="1" applyFill="1" applyBorder="1" applyAlignment="1">
      <alignment horizontal="center" vertical="center"/>
    </xf>
    <xf numFmtId="0" fontId="98" fillId="3" borderId="54" xfId="0" applyFont="1" applyFill="1" applyBorder="1" applyAlignment="1">
      <alignment horizontal="center" vertical="center"/>
    </xf>
    <xf numFmtId="0" fontId="98" fillId="7" borderId="40" xfId="0" applyFont="1" applyFill="1" applyBorder="1" applyAlignment="1">
      <alignment horizontal="center" vertical="center"/>
    </xf>
    <xf numFmtId="0" fontId="98" fillId="7" borderId="1" xfId="0" applyFont="1" applyFill="1" applyBorder="1" applyAlignment="1">
      <alignment horizontal="center" vertical="center"/>
    </xf>
    <xf numFmtId="0" fontId="98" fillId="7" borderId="41" xfId="0" applyFont="1" applyFill="1" applyBorder="1" applyAlignment="1">
      <alignment horizontal="center" vertical="center"/>
    </xf>
    <xf numFmtId="0" fontId="98" fillId="7" borderId="43" xfId="0" applyFont="1" applyFill="1" applyBorder="1" applyAlignment="1">
      <alignment horizontal="center" vertical="center"/>
    </xf>
    <xf numFmtId="0" fontId="98" fillId="7" borderId="55" xfId="0" applyFont="1" applyFill="1" applyBorder="1" applyAlignment="1">
      <alignment horizontal="center" vertical="center"/>
    </xf>
    <xf numFmtId="0" fontId="98" fillId="7" borderId="54" xfId="0" applyFont="1" applyFill="1" applyBorder="1" applyAlignment="1">
      <alignment horizontal="center" vertical="center"/>
    </xf>
    <xf numFmtId="0" fontId="98" fillId="7" borderId="28" xfId="0" applyFont="1" applyFill="1" applyBorder="1" applyAlignment="1">
      <alignment horizontal="center" vertical="center"/>
    </xf>
    <xf numFmtId="0" fontId="98" fillId="7" borderId="83" xfId="0" applyFont="1" applyFill="1" applyBorder="1" applyAlignment="1">
      <alignment horizontal="center" vertical="center"/>
    </xf>
    <xf numFmtId="0" fontId="0" fillId="0" borderId="0" xfId="0"/>
    <xf numFmtId="0" fontId="92" fillId="3" borderId="65" xfId="0" applyFont="1" applyFill="1" applyBorder="1" applyAlignment="1">
      <alignment horizontal="center" vertical="center"/>
    </xf>
    <xf numFmtId="0" fontId="92" fillId="3" borderId="66" xfId="0" applyFont="1" applyFill="1" applyBorder="1" applyAlignment="1">
      <alignment horizontal="center" vertical="center"/>
    </xf>
    <xf numFmtId="0" fontId="92" fillId="7" borderId="68" xfId="0" applyFont="1" applyFill="1" applyBorder="1" applyAlignment="1">
      <alignment horizontal="center" vertical="center"/>
    </xf>
    <xf numFmtId="0" fontId="92" fillId="7" borderId="65" xfId="0" applyFont="1" applyFill="1" applyBorder="1" applyAlignment="1">
      <alignment horizontal="center" vertical="center"/>
    </xf>
    <xf numFmtId="0" fontId="92" fillId="7" borderId="68" xfId="12" applyFont="1" applyFill="1" applyBorder="1" applyAlignment="1">
      <alignment horizontal="center" vertical="center"/>
    </xf>
    <xf numFmtId="0" fontId="92" fillId="7" borderId="65" xfId="12" applyFont="1" applyFill="1" applyBorder="1" applyAlignment="1">
      <alignment horizontal="center" vertical="center"/>
    </xf>
    <xf numFmtId="0" fontId="92" fillId="7" borderId="66" xfId="12" applyFont="1" applyFill="1" applyBorder="1" applyAlignment="1">
      <alignment horizontal="center" vertical="center"/>
    </xf>
    <xf numFmtId="0" fontId="92" fillId="7" borderId="66" xfId="0" applyFont="1" applyFill="1" applyBorder="1" applyAlignment="1">
      <alignment horizontal="center" vertical="center"/>
    </xf>
    <xf numFmtId="0" fontId="92" fillId="3" borderId="68" xfId="0" applyFont="1" applyFill="1" applyBorder="1" applyAlignment="1">
      <alignment horizontal="center" vertical="center"/>
    </xf>
    <xf numFmtId="0" fontId="92" fillId="28" borderId="39" xfId="0" applyFont="1" applyFill="1" applyBorder="1" applyAlignment="1">
      <alignment horizontal="center" vertical="center" wrapText="1"/>
    </xf>
    <xf numFmtId="0" fontId="92" fillId="28" borderId="73" xfId="0" applyFont="1" applyFill="1" applyBorder="1" applyAlignment="1">
      <alignment horizontal="center" vertical="center" wrapText="1"/>
    </xf>
    <xf numFmtId="0" fontId="91" fillId="28" borderId="44" xfId="0" applyFont="1" applyFill="1" applyBorder="1" applyAlignment="1" applyProtection="1">
      <alignment horizontal="center" vertical="center"/>
      <protection locked="0"/>
    </xf>
    <xf numFmtId="0" fontId="91" fillId="28" borderId="43" xfId="0" applyFont="1" applyFill="1" applyBorder="1" applyAlignment="1" applyProtection="1">
      <alignment horizontal="center" vertical="center" wrapText="1"/>
      <protection locked="0"/>
    </xf>
    <xf numFmtId="0" fontId="98" fillId="3" borderId="44" xfId="0" applyFont="1" applyFill="1" applyBorder="1" applyAlignment="1" applyProtection="1">
      <alignment horizontal="center" vertical="center"/>
      <protection locked="0"/>
    </xf>
    <xf numFmtId="0" fontId="98" fillId="3" borderId="43" xfId="0" applyFont="1" applyFill="1" applyBorder="1" applyAlignment="1" applyProtection="1">
      <alignment horizontal="center" vertical="center"/>
      <protection locked="0"/>
    </xf>
    <xf numFmtId="0" fontId="97" fillId="29" borderId="13" xfId="14" applyBorder="1" applyAlignment="1" applyProtection="1">
      <alignment horizontal="center" vertical="center" wrapText="1"/>
      <protection locked="0"/>
    </xf>
    <xf numFmtId="0" fontId="97" fillId="29" borderId="46" xfId="14" applyBorder="1" applyAlignment="1" applyProtection="1">
      <alignment horizontal="center" vertical="center" wrapText="1"/>
      <protection locked="0"/>
    </xf>
    <xf numFmtId="0" fontId="98" fillId="0" borderId="4" xfId="0" applyFont="1" applyBorder="1" applyAlignment="1" applyProtection="1">
      <alignment horizontal="center"/>
      <protection locked="0"/>
    </xf>
    <xf numFmtId="0" fontId="98" fillId="0" borderId="5" xfId="0" applyFont="1" applyBorder="1" applyAlignment="1" applyProtection="1">
      <alignment horizontal="center"/>
      <protection locked="0"/>
    </xf>
    <xf numFmtId="0" fontId="98" fillId="0" borderId="79" xfId="0" applyFont="1" applyBorder="1" applyAlignment="1" applyProtection="1">
      <alignment horizontal="center"/>
      <protection locked="0"/>
    </xf>
    <xf numFmtId="0" fontId="98" fillId="7" borderId="44" xfId="0" applyFont="1" applyFill="1" applyBorder="1" applyAlignment="1" applyProtection="1">
      <alignment horizontal="center" vertical="center"/>
      <protection locked="0"/>
    </xf>
    <xf numFmtId="0" fontId="98" fillId="7" borderId="43" xfId="0" applyFont="1" applyFill="1" applyBorder="1" applyAlignment="1" applyProtection="1">
      <alignment horizontal="center" vertical="center"/>
      <protection locked="0"/>
    </xf>
    <xf numFmtId="0" fontId="98" fillId="7" borderId="53" xfId="0" applyFont="1" applyFill="1" applyBorder="1" applyAlignment="1" applyProtection="1">
      <alignment horizontal="center" vertical="center"/>
      <protection locked="0"/>
    </xf>
    <xf numFmtId="0" fontId="98" fillId="7" borderId="54" xfId="0" applyFont="1" applyFill="1" applyBorder="1" applyAlignment="1" applyProtection="1">
      <alignment horizontal="center" vertical="center"/>
      <protection locked="0"/>
    </xf>
    <xf numFmtId="0" fontId="98" fillId="3" borderId="44" xfId="0" applyFont="1" applyFill="1" applyBorder="1" applyAlignment="1">
      <alignment horizontal="center" vertical="center"/>
    </xf>
    <xf numFmtId="0" fontId="98" fillId="7" borderId="44" xfId="0" applyFont="1" applyFill="1" applyBorder="1" applyAlignment="1">
      <alignment horizontal="center" vertical="center"/>
    </xf>
    <xf numFmtId="0" fontId="97" fillId="29" borderId="40" xfId="14" applyBorder="1" applyAlignment="1" applyProtection="1">
      <alignment horizontal="center" vertical="center" wrapText="1"/>
      <protection locked="0"/>
    </xf>
    <xf numFmtId="0" fontId="97" fillId="29" borderId="41" xfId="14" applyBorder="1" applyAlignment="1" applyProtection="1">
      <alignment horizontal="center" vertical="center" wrapText="1"/>
      <protection locked="0"/>
    </xf>
    <xf numFmtId="0" fontId="98" fillId="7" borderId="53" xfId="0" applyFont="1" applyFill="1" applyBorder="1" applyAlignment="1">
      <alignment horizontal="center" vertical="center"/>
    </xf>
    <xf numFmtId="0" fontId="92" fillId="7" borderId="44" xfId="12" applyFont="1" applyFill="1" applyBorder="1" applyAlignment="1">
      <alignment horizontal="center" vertical="center"/>
    </xf>
    <xf numFmtId="0" fontId="97" fillId="29" borderId="10" xfId="14" applyBorder="1" applyAlignment="1" applyProtection="1">
      <alignment horizontal="center" vertical="center" wrapText="1"/>
      <protection locked="0"/>
    </xf>
    <xf numFmtId="0" fontId="66" fillId="0" borderId="9" xfId="0" applyFont="1" applyBorder="1" applyAlignment="1">
      <alignment horizontal="left" vertical="center"/>
    </xf>
    <xf numFmtId="167" fontId="75" fillId="0" borderId="0" xfId="0" applyNumberFormat="1" applyFont="1" applyAlignment="1">
      <alignment horizontal="right" vertical="top"/>
    </xf>
    <xf numFmtId="0" fontId="74" fillId="16" borderId="0" xfId="7" applyFont="1" applyFill="1" applyBorder="1" applyAlignment="1">
      <alignment horizontal="right"/>
    </xf>
    <xf numFmtId="0" fontId="79" fillId="0" borderId="0" xfId="7" applyFont="1" applyBorder="1"/>
    <xf numFmtId="0" fontId="77" fillId="16" borderId="22" xfId="8" applyFont="1" applyFill="1" applyBorder="1" applyAlignment="1" applyProtection="1">
      <alignment horizontal="center" vertical="center"/>
    </xf>
    <xf numFmtId="0" fontId="77" fillId="16" borderId="21" xfId="8" applyFont="1" applyFill="1" applyBorder="1" applyAlignment="1" applyProtection="1">
      <alignment horizontal="center" vertical="center"/>
    </xf>
    <xf numFmtId="0" fontId="74" fillId="16" borderId="0" xfId="7" applyFont="1" applyFill="1" applyBorder="1" applyAlignment="1">
      <alignment horizontal="left"/>
    </xf>
    <xf numFmtId="0" fontId="77" fillId="16" borderId="59" xfId="11" applyFont="1" applyFill="1" applyBorder="1" applyAlignment="1" applyProtection="1">
      <alignment horizontal="center" vertical="center"/>
    </xf>
    <xf numFmtId="0" fontId="77" fillId="16" borderId="61" xfId="11" applyFont="1" applyFill="1" applyBorder="1" applyAlignment="1" applyProtection="1">
      <alignment horizontal="center" vertical="center"/>
    </xf>
    <xf numFmtId="0" fontId="79" fillId="0" borderId="0" xfId="7" applyFont="1" applyBorder="1" applyAlignment="1">
      <alignment horizontal="left"/>
    </xf>
    <xf numFmtId="0" fontId="73" fillId="16" borderId="0" xfId="6" applyFont="1" applyFill="1" applyBorder="1" applyAlignment="1">
      <alignment horizontal="center"/>
    </xf>
    <xf numFmtId="0" fontId="74" fillId="16" borderId="0" xfId="6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85" xfId="0" applyFont="1" applyFill="1" applyBorder="1" applyAlignment="1">
      <alignment horizontal="center"/>
    </xf>
    <xf numFmtId="0" fontId="0" fillId="5" borderId="11" xfId="0" applyFill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00" fillId="2" borderId="11" xfId="1" applyFont="1" applyFill="1" applyBorder="1" applyAlignment="1" applyProtection="1">
      <alignment horizontal="center"/>
      <protection locked="0"/>
    </xf>
    <xf numFmtId="0" fontId="100" fillId="2" borderId="12" xfId="1" applyFont="1" applyFill="1" applyBorder="1" applyAlignment="1" applyProtection="1">
      <alignment horizontal="center"/>
      <protection locked="0"/>
    </xf>
    <xf numFmtId="0" fontId="70" fillId="0" borderId="0" xfId="0" applyFont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1" xfId="0" applyFill="1" applyBorder="1" applyAlignment="1">
      <alignment horizontal="center" shrinkToFit="1"/>
    </xf>
    <xf numFmtId="0" fontId="0" fillId="2" borderId="12" xfId="0" applyFill="1" applyBorder="1" applyAlignment="1">
      <alignment horizontal="center" shrinkToFit="1"/>
    </xf>
    <xf numFmtId="0" fontId="7" fillId="6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26" fillId="2" borderId="0" xfId="0" applyFont="1" applyFill="1"/>
    <xf numFmtId="0" fontId="1" fillId="2" borderId="11" xfId="0" applyFont="1" applyFill="1" applyBorder="1" applyAlignment="1">
      <alignment horizontal="center"/>
    </xf>
    <xf numFmtId="0" fontId="33" fillId="0" borderId="36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50" fillId="0" borderId="36" xfId="0" applyFont="1" applyBorder="1" applyAlignment="1">
      <alignment vertical="center" wrapText="1"/>
    </xf>
    <xf numFmtId="0" fontId="50" fillId="0" borderId="33" xfId="0" applyFont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3" fillId="0" borderId="33" xfId="0" applyFont="1" applyBorder="1" applyAlignment="1">
      <alignment vertical="center" wrapText="1"/>
    </xf>
    <xf numFmtId="0" fontId="93" fillId="3" borderId="43" xfId="0" applyFont="1" applyFill="1" applyBorder="1" applyAlignment="1">
      <alignment horizontal="center" vertical="center"/>
    </xf>
    <xf numFmtId="0" fontId="93" fillId="3" borderId="54" xfId="0" applyFont="1" applyFill="1" applyBorder="1" applyAlignment="1">
      <alignment horizontal="center" vertical="center"/>
    </xf>
    <xf numFmtId="0" fontId="93" fillId="7" borderId="41" xfId="0" applyFont="1" applyFill="1" applyBorder="1" applyAlignment="1">
      <alignment horizontal="center" vertical="center"/>
    </xf>
    <xf numFmtId="0" fontId="93" fillId="7" borderId="43" xfId="0" applyFont="1" applyFill="1" applyBorder="1" applyAlignment="1">
      <alignment horizontal="center" vertical="center"/>
    </xf>
    <xf numFmtId="0" fontId="93" fillId="7" borderId="54" xfId="0" applyFont="1" applyFill="1" applyBorder="1" applyAlignment="1">
      <alignment horizontal="center" vertical="center"/>
    </xf>
    <xf numFmtId="0" fontId="96" fillId="0" borderId="60" xfId="0" applyFont="1" applyBorder="1" applyAlignment="1">
      <alignment horizontal="left"/>
    </xf>
    <xf numFmtId="0" fontId="91" fillId="7" borderId="77" xfId="0" applyFont="1" applyFill="1" applyBorder="1" applyAlignment="1">
      <alignment horizontal="center" vertical="center"/>
    </xf>
    <xf numFmtId="0" fontId="91" fillId="7" borderId="15" xfId="0" applyFont="1" applyFill="1" applyBorder="1" applyAlignment="1">
      <alignment horizontal="center" vertical="center"/>
    </xf>
    <xf numFmtId="0" fontId="91" fillId="7" borderId="26" xfId="0" applyFont="1" applyFill="1" applyBorder="1" applyAlignment="1">
      <alignment horizontal="center" vertical="center"/>
    </xf>
    <xf numFmtId="0" fontId="91" fillId="7" borderId="39" xfId="0" applyFont="1" applyFill="1" applyBorder="1" applyAlignment="1">
      <alignment horizontal="center"/>
    </xf>
    <xf numFmtId="0" fontId="91" fillId="7" borderId="41" xfId="0" applyFont="1" applyFill="1" applyBorder="1" applyAlignment="1">
      <alignment horizontal="center"/>
    </xf>
    <xf numFmtId="0" fontId="91" fillId="7" borderId="68" xfId="0" applyFont="1" applyFill="1" applyBorder="1" applyAlignment="1">
      <alignment horizontal="center" vertical="center"/>
    </xf>
    <xf numFmtId="0" fontId="91" fillId="7" borderId="65" xfId="0" applyFont="1" applyFill="1" applyBorder="1" applyAlignment="1">
      <alignment horizontal="center" vertical="center"/>
    </xf>
    <xf numFmtId="0" fontId="91" fillId="7" borderId="66" xfId="0" applyFont="1" applyFill="1" applyBorder="1" applyAlignment="1">
      <alignment horizontal="center" vertical="center"/>
    </xf>
    <xf numFmtId="0" fontId="90" fillId="7" borderId="68" xfId="0" applyFont="1" applyFill="1" applyBorder="1" applyAlignment="1">
      <alignment horizontal="center" vertical="center"/>
    </xf>
    <xf numFmtId="0" fontId="90" fillId="7" borderId="65" xfId="0" applyFont="1" applyFill="1" applyBorder="1" applyAlignment="1">
      <alignment horizontal="center" vertical="center"/>
    </xf>
    <xf numFmtId="0" fontId="90" fillId="7" borderId="66" xfId="0" applyFont="1" applyFill="1" applyBorder="1" applyAlignment="1">
      <alignment horizontal="center" vertical="center"/>
    </xf>
    <xf numFmtId="0" fontId="89" fillId="7" borderId="39" xfId="0" applyFont="1" applyFill="1" applyBorder="1" applyAlignment="1">
      <alignment horizontal="center"/>
    </xf>
    <xf numFmtId="0" fontId="89" fillId="7" borderId="41" xfId="0" applyFont="1" applyFill="1" applyBorder="1" applyAlignment="1">
      <alignment horizontal="center"/>
    </xf>
    <xf numFmtId="0" fontId="93" fillId="3" borderId="41" xfId="0" applyFont="1" applyFill="1" applyBorder="1" applyAlignment="1">
      <alignment horizontal="center" vertical="center"/>
    </xf>
    <xf numFmtId="0" fontId="92" fillId="7" borderId="80" xfId="0" applyFont="1" applyFill="1" applyBorder="1" applyAlignment="1">
      <alignment horizontal="center" vertical="center"/>
    </xf>
    <xf numFmtId="0" fontId="92" fillId="7" borderId="81" xfId="0" applyFont="1" applyFill="1" applyBorder="1" applyAlignment="1">
      <alignment horizontal="center" vertical="center"/>
    </xf>
    <xf numFmtId="0" fontId="92" fillId="3" borderId="64" xfId="0" applyFont="1" applyFill="1" applyBorder="1" applyAlignment="1">
      <alignment horizontal="center" vertical="center"/>
    </xf>
    <xf numFmtId="0" fontId="92" fillId="3" borderId="70" xfId="0" applyFont="1" applyFill="1" applyBorder="1" applyAlignment="1">
      <alignment horizontal="center" vertical="center"/>
    </xf>
    <xf numFmtId="0" fontId="93" fillId="28" borderId="58" xfId="13" applyFont="1" applyFill="1" applyBorder="1" applyAlignment="1">
      <alignment horizontal="center" vertical="center" wrapText="1"/>
    </xf>
    <xf numFmtId="0" fontId="93" fillId="28" borderId="76" xfId="13" applyFont="1" applyFill="1" applyBorder="1" applyAlignment="1">
      <alignment horizontal="center" vertical="center" wrapText="1"/>
    </xf>
    <xf numFmtId="0" fontId="84" fillId="28" borderId="64" xfId="0" applyFont="1" applyFill="1" applyBorder="1" applyAlignment="1">
      <alignment horizontal="center" vertical="center" wrapText="1"/>
    </xf>
    <xf numFmtId="0" fontId="84" fillId="28" borderId="72" xfId="0" applyFont="1" applyFill="1" applyBorder="1" applyAlignment="1">
      <alignment horizontal="center" vertical="center" wrapText="1"/>
    </xf>
    <xf numFmtId="0" fontId="84" fillId="28" borderId="70" xfId="0" applyFont="1" applyFill="1" applyBorder="1" applyAlignment="1">
      <alignment horizontal="center" vertical="center" wrapText="1"/>
    </xf>
    <xf numFmtId="0" fontId="84" fillId="28" borderId="58" xfId="0" applyFont="1" applyFill="1" applyBorder="1" applyAlignment="1">
      <alignment horizontal="center" vertical="center"/>
    </xf>
    <xf numFmtId="0" fontId="84" fillId="28" borderId="76" xfId="0" applyFont="1" applyFill="1" applyBorder="1" applyAlignment="1">
      <alignment horizontal="center" vertical="center"/>
    </xf>
    <xf numFmtId="0" fontId="84" fillId="28" borderId="69" xfId="0" applyFont="1" applyFill="1" applyBorder="1" applyAlignment="1">
      <alignment horizontal="center" vertical="center"/>
    </xf>
    <xf numFmtId="0" fontId="84" fillId="28" borderId="64" xfId="0" applyFont="1" applyFill="1" applyBorder="1" applyAlignment="1">
      <alignment horizontal="center" vertical="center"/>
    </xf>
    <xf numFmtId="0" fontId="84" fillId="28" borderId="72" xfId="0" applyFont="1" applyFill="1" applyBorder="1" applyAlignment="1">
      <alignment horizontal="center" vertical="center"/>
    </xf>
    <xf numFmtId="0" fontId="84" fillId="28" borderId="70" xfId="0" applyFont="1" applyFill="1" applyBorder="1" applyAlignment="1">
      <alignment horizontal="center" vertical="center"/>
    </xf>
    <xf numFmtId="0" fontId="90" fillId="28" borderId="48" xfId="0" applyFont="1" applyFill="1" applyBorder="1" applyAlignment="1">
      <alignment horizontal="center"/>
    </xf>
    <xf numFmtId="0" fontId="90" fillId="28" borderId="45" xfId="0" applyFont="1" applyFill="1" applyBorder="1" applyAlignment="1">
      <alignment horizontal="center"/>
    </xf>
    <xf numFmtId="0" fontId="92" fillId="7" borderId="64" xfId="0" applyFont="1" applyFill="1" applyBorder="1" applyAlignment="1">
      <alignment horizontal="center" vertical="center"/>
    </xf>
    <xf numFmtId="0" fontId="92" fillId="7" borderId="70" xfId="0" applyFont="1" applyFill="1" applyBorder="1" applyAlignment="1">
      <alignment horizontal="center" vertical="center"/>
    </xf>
    <xf numFmtId="0" fontId="92" fillId="3" borderId="80" xfId="0" applyFont="1" applyFill="1" applyBorder="1" applyAlignment="1">
      <alignment horizontal="center" vertical="center"/>
    </xf>
    <xf numFmtId="0" fontId="92" fillId="3" borderId="81" xfId="0" applyFont="1" applyFill="1" applyBorder="1" applyAlignment="1">
      <alignment horizontal="center" vertical="center"/>
    </xf>
    <xf numFmtId="0" fontId="92" fillId="28" borderId="64" xfId="0" applyFont="1" applyFill="1" applyBorder="1" applyAlignment="1">
      <alignment horizontal="center" vertical="center" wrapText="1"/>
    </xf>
    <xf numFmtId="0" fontId="92" fillId="28" borderId="72" xfId="0" applyFont="1" applyFill="1" applyBorder="1" applyAlignment="1">
      <alignment horizontal="center" vertical="center" wrapText="1"/>
    </xf>
    <xf numFmtId="0" fontId="91" fillId="7" borderId="42" xfId="0" applyFont="1" applyFill="1" applyBorder="1" applyAlignment="1">
      <alignment horizontal="center"/>
    </xf>
    <xf numFmtId="0" fontId="91" fillId="7" borderId="46" xfId="0" applyFont="1" applyFill="1" applyBorder="1" applyAlignment="1">
      <alignment horizontal="center"/>
    </xf>
    <xf numFmtId="0" fontId="92" fillId="7" borderId="64" xfId="12" applyFont="1" applyFill="1" applyBorder="1" applyAlignment="1">
      <alignment horizontal="center" vertical="center"/>
    </xf>
    <xf numFmtId="0" fontId="92" fillId="7" borderId="70" xfId="12" applyFont="1" applyFill="1" applyBorder="1" applyAlignment="1">
      <alignment horizontal="center" vertical="center"/>
    </xf>
    <xf numFmtId="0" fontId="92" fillId="7" borderId="80" xfId="12" applyFont="1" applyFill="1" applyBorder="1" applyAlignment="1">
      <alignment horizontal="center" vertical="center"/>
    </xf>
    <xf numFmtId="0" fontId="92" fillId="7" borderId="81" xfId="12" applyFont="1" applyFill="1" applyBorder="1" applyAlignment="1">
      <alignment horizontal="center" vertical="center"/>
    </xf>
    <xf numFmtId="0" fontId="86" fillId="28" borderId="71" xfId="0" applyFont="1" applyFill="1" applyBorder="1" applyAlignment="1">
      <alignment horizontal="center" vertical="center"/>
    </xf>
    <xf numFmtId="0" fontId="86" fillId="28" borderId="21" xfId="0" applyFont="1" applyFill="1" applyBorder="1" applyAlignment="1">
      <alignment horizontal="center" vertical="center"/>
    </xf>
    <xf numFmtId="0" fontId="91" fillId="0" borderId="15" xfId="0" applyFont="1" applyBorder="1" applyAlignment="1">
      <alignment horizontal="center" vertical="top"/>
    </xf>
    <xf numFmtId="0" fontId="91" fillId="0" borderId="16" xfId="0" applyFont="1" applyBorder="1" applyAlignment="1">
      <alignment horizontal="center" vertical="top"/>
    </xf>
    <xf numFmtId="0" fontId="91" fillId="0" borderId="14" xfId="0" applyFont="1" applyBorder="1" applyAlignment="1">
      <alignment horizontal="center" vertical="top"/>
    </xf>
    <xf numFmtId="0" fontId="1" fillId="0" borderId="53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94" fillId="7" borderId="39" xfId="0" applyFont="1" applyFill="1" applyBorder="1" applyAlignment="1">
      <alignment horizontal="center" wrapText="1"/>
    </xf>
    <xf numFmtId="0" fontId="94" fillId="7" borderId="40" xfId="0" applyFont="1" applyFill="1" applyBorder="1" applyAlignment="1">
      <alignment horizontal="center" wrapText="1"/>
    </xf>
    <xf numFmtId="0" fontId="94" fillId="7" borderId="41" xfId="0" applyFont="1" applyFill="1" applyBorder="1" applyAlignment="1">
      <alignment horizontal="center" wrapText="1"/>
    </xf>
    <xf numFmtId="0" fontId="91" fillId="31" borderId="48" xfId="0" applyFont="1" applyFill="1" applyBorder="1" applyAlignment="1">
      <alignment horizontal="center" vertical="center"/>
    </xf>
    <xf numFmtId="0" fontId="91" fillId="31" borderId="47" xfId="0" applyFont="1" applyFill="1" applyBorder="1" applyAlignment="1">
      <alignment horizontal="center" vertical="center"/>
    </xf>
    <xf numFmtId="0" fontId="91" fillId="31" borderId="45" xfId="0" applyFont="1" applyFill="1" applyBorder="1" applyAlignment="1">
      <alignment horizontal="center" vertical="center"/>
    </xf>
    <xf numFmtId="0" fontId="91" fillId="31" borderId="50" xfId="0" applyFont="1" applyFill="1" applyBorder="1" applyAlignment="1">
      <alignment horizontal="center" vertical="center"/>
    </xf>
    <xf numFmtId="0" fontId="91" fillId="31" borderId="51" xfId="0" applyFont="1" applyFill="1" applyBorder="1" applyAlignment="1">
      <alignment horizontal="center" vertical="center"/>
    </xf>
    <xf numFmtId="0" fontId="91" fillId="31" borderId="52" xfId="0" applyFont="1" applyFill="1" applyBorder="1" applyAlignment="1">
      <alignment horizontal="center" vertical="center"/>
    </xf>
    <xf numFmtId="0" fontId="93" fillId="7" borderId="48" xfId="0" applyFont="1" applyFill="1" applyBorder="1" applyAlignment="1">
      <alignment horizontal="center" vertical="center" wrapText="1"/>
    </xf>
    <xf numFmtId="0" fontId="93" fillId="7" borderId="47" xfId="0" applyFont="1" applyFill="1" applyBorder="1" applyAlignment="1">
      <alignment horizontal="center" vertical="center" wrapText="1"/>
    </xf>
    <xf numFmtId="0" fontId="93" fillId="7" borderId="45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94" fillId="7" borderId="42" xfId="0" applyFont="1" applyFill="1" applyBorder="1" applyAlignment="1">
      <alignment horizontal="center" wrapText="1"/>
    </xf>
    <xf numFmtId="0" fontId="94" fillId="7" borderId="13" xfId="0" applyFont="1" applyFill="1" applyBorder="1" applyAlignment="1">
      <alignment horizontal="center" wrapText="1"/>
    </xf>
    <xf numFmtId="0" fontId="104" fillId="0" borderId="56" xfId="0" applyFont="1" applyBorder="1" applyAlignment="1">
      <alignment horizontal="left" vertical="top" wrapText="1"/>
    </xf>
    <xf numFmtId="0" fontId="89" fillId="0" borderId="57" xfId="0" applyFont="1" applyBorder="1" applyAlignment="1">
      <alignment horizontal="left" vertical="top"/>
    </xf>
    <xf numFmtId="0" fontId="89" fillId="0" borderId="58" xfId="0" applyFont="1" applyBorder="1" applyAlignment="1">
      <alignment horizontal="left" vertical="top"/>
    </xf>
    <xf numFmtId="0" fontId="89" fillId="0" borderId="84" xfId="0" applyFont="1" applyBorder="1" applyAlignment="1">
      <alignment horizontal="left" vertical="top"/>
    </xf>
    <xf numFmtId="0" fontId="89" fillId="0" borderId="0" xfId="0" applyFont="1" applyAlignment="1">
      <alignment horizontal="left" vertical="top"/>
    </xf>
    <xf numFmtId="0" fontId="89" fillId="0" borderId="76" xfId="0" applyFont="1" applyBorder="1" applyAlignment="1">
      <alignment horizontal="left" vertical="top"/>
    </xf>
    <xf numFmtId="0" fontId="89" fillId="0" borderId="59" xfId="0" applyFont="1" applyBorder="1" applyAlignment="1">
      <alignment horizontal="left" vertical="top"/>
    </xf>
    <xf numFmtId="0" fontId="89" fillId="0" borderId="60" xfId="0" applyFont="1" applyBorder="1" applyAlignment="1">
      <alignment horizontal="left" vertical="top"/>
    </xf>
    <xf numFmtId="0" fontId="89" fillId="0" borderId="61" xfId="0" applyFont="1" applyBorder="1" applyAlignment="1">
      <alignment horizontal="left" vertical="top"/>
    </xf>
    <xf numFmtId="0" fontId="91" fillId="0" borderId="26" xfId="0" applyFont="1" applyBorder="1" applyAlignment="1">
      <alignment horizontal="center" vertical="top"/>
    </xf>
    <xf numFmtId="0" fontId="91" fillId="0" borderId="27" xfId="0" applyFont="1" applyBorder="1" applyAlignment="1">
      <alignment horizontal="center" vertical="top"/>
    </xf>
    <xf numFmtId="0" fontId="91" fillId="0" borderId="25" xfId="0" applyFont="1" applyBorder="1" applyAlignment="1">
      <alignment horizontal="center" vertical="top"/>
    </xf>
    <xf numFmtId="0" fontId="103" fillId="28" borderId="47" xfId="0" applyFont="1" applyFill="1" applyBorder="1" applyAlignment="1">
      <alignment horizontal="center" vertical="center"/>
    </xf>
    <xf numFmtId="0" fontId="103" fillId="28" borderId="45" xfId="0" applyFont="1" applyFill="1" applyBorder="1" applyAlignment="1">
      <alignment horizontal="center" vertical="center"/>
    </xf>
    <xf numFmtId="0" fontId="91" fillId="0" borderId="13" xfId="0" applyFont="1" applyBorder="1" applyAlignment="1">
      <alignment horizontal="center" vertical="top"/>
    </xf>
    <xf numFmtId="0" fontId="91" fillId="0" borderId="46" xfId="0" applyFont="1" applyBorder="1" applyAlignment="1">
      <alignment horizontal="center" vertical="top"/>
    </xf>
    <xf numFmtId="0" fontId="91" fillId="0" borderId="1" xfId="0" applyFont="1" applyBorder="1" applyAlignment="1">
      <alignment horizontal="center" vertical="top"/>
    </xf>
    <xf numFmtId="0" fontId="91" fillId="0" borderId="43" xfId="0" applyFont="1" applyBorder="1" applyAlignment="1">
      <alignment horizontal="center" vertical="top"/>
    </xf>
    <xf numFmtId="0" fontId="91" fillId="0" borderId="28" xfId="0" applyFont="1" applyBorder="1" applyAlignment="1">
      <alignment horizontal="center" vertical="top"/>
    </xf>
    <xf numFmtId="0" fontId="91" fillId="0" borderId="83" xfId="0" applyFont="1" applyBorder="1" applyAlignment="1">
      <alignment horizontal="center" vertical="top"/>
    </xf>
    <xf numFmtId="0" fontId="103" fillId="28" borderId="22" xfId="0" applyFont="1" applyFill="1" applyBorder="1" applyAlignment="1">
      <alignment horizontal="center" vertical="center"/>
    </xf>
    <xf numFmtId="0" fontId="103" fillId="28" borderId="23" xfId="0" applyFont="1" applyFill="1" applyBorder="1" applyAlignment="1">
      <alignment horizontal="center" vertical="center"/>
    </xf>
    <xf numFmtId="0" fontId="103" fillId="28" borderId="21" xfId="0" applyFont="1" applyFill="1" applyBorder="1" applyAlignment="1">
      <alignment horizontal="center" vertical="center"/>
    </xf>
    <xf numFmtId="0" fontId="91" fillId="0" borderId="11" xfId="0" applyFont="1" applyBorder="1" applyAlignment="1">
      <alignment horizontal="center" vertical="top"/>
    </xf>
    <xf numFmtId="0" fontId="91" fillId="0" borderId="77" xfId="0" applyFont="1" applyBorder="1" applyAlignment="1">
      <alignment horizontal="center" vertical="top"/>
    </xf>
    <xf numFmtId="0" fontId="91" fillId="0" borderId="3" xfId="0" applyFont="1" applyBorder="1" applyAlignment="1">
      <alignment horizontal="center" vertical="top"/>
    </xf>
    <xf numFmtId="0" fontId="91" fillId="0" borderId="69" xfId="0" applyFont="1" applyBorder="1" applyAlignment="1">
      <alignment horizontal="center" vertical="top"/>
    </xf>
    <xf numFmtId="0" fontId="89" fillId="0" borderId="84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91" fillId="5" borderId="39" xfId="0" applyFont="1" applyFill="1" applyBorder="1" applyAlignment="1">
      <alignment horizontal="left"/>
    </xf>
    <xf numFmtId="0" fontId="91" fillId="5" borderId="40" xfId="0" applyFont="1" applyFill="1" applyBorder="1" applyAlignment="1">
      <alignment horizontal="left"/>
    </xf>
    <xf numFmtId="0" fontId="91" fillId="5" borderId="44" xfId="0" applyFont="1" applyFill="1" applyBorder="1" applyAlignment="1">
      <alignment horizontal="left"/>
    </xf>
    <xf numFmtId="0" fontId="91" fillId="5" borderId="1" xfId="0" applyFont="1" applyFill="1" applyBorder="1" applyAlignment="1">
      <alignment horizontal="left"/>
    </xf>
    <xf numFmtId="0" fontId="91" fillId="5" borderId="53" xfId="0" applyFont="1" applyFill="1" applyBorder="1" applyAlignment="1">
      <alignment horizontal="left"/>
    </xf>
    <xf numFmtId="0" fontId="91" fillId="5" borderId="55" xfId="0" applyFont="1" applyFill="1" applyBorder="1" applyAlignment="1">
      <alignment horizontal="left"/>
    </xf>
    <xf numFmtId="0" fontId="89" fillId="12" borderId="40" xfId="0" applyFont="1" applyFill="1" applyBorder="1" applyAlignment="1">
      <alignment horizontal="center"/>
    </xf>
    <xf numFmtId="0" fontId="89" fillId="12" borderId="41" xfId="0" applyFont="1" applyFill="1" applyBorder="1" applyAlignment="1">
      <alignment horizontal="center"/>
    </xf>
    <xf numFmtId="0" fontId="102" fillId="0" borderId="48" xfId="0" applyFont="1" applyBorder="1" applyAlignment="1">
      <alignment horizontal="center"/>
    </xf>
    <xf numFmtId="0" fontId="102" fillId="0" borderId="47" xfId="0" applyFont="1" applyBorder="1" applyAlignment="1">
      <alignment horizontal="center"/>
    </xf>
    <xf numFmtId="0" fontId="102" fillId="0" borderId="71" xfId="0" applyFont="1" applyBorder="1" applyAlignment="1">
      <alignment horizontal="center"/>
    </xf>
    <xf numFmtId="0" fontId="89" fillId="5" borderId="56" xfId="0" applyFont="1" applyFill="1" applyBorder="1" applyAlignment="1">
      <alignment horizontal="center" vertical="center" wrapText="1"/>
    </xf>
    <xf numFmtId="0" fontId="89" fillId="5" borderId="57" xfId="0" applyFont="1" applyFill="1" applyBorder="1" applyAlignment="1">
      <alignment horizontal="center" vertical="center" wrapText="1"/>
    </xf>
    <xf numFmtId="0" fontId="89" fillId="5" borderId="84" xfId="0" applyFont="1" applyFill="1" applyBorder="1" applyAlignment="1">
      <alignment horizontal="center" vertical="center" wrapText="1"/>
    </xf>
    <xf numFmtId="0" fontId="89" fillId="5" borderId="0" xfId="0" applyFont="1" applyFill="1" applyAlignment="1">
      <alignment horizontal="center" vertical="center" wrapText="1"/>
    </xf>
    <xf numFmtId="0" fontId="89" fillId="5" borderId="76" xfId="0" applyFont="1" applyFill="1" applyBorder="1" applyAlignment="1">
      <alignment horizontal="center" vertical="center" wrapText="1"/>
    </xf>
    <xf numFmtId="0" fontId="91" fillId="5" borderId="22" xfId="0" applyFont="1" applyFill="1" applyBorder="1" applyAlignment="1">
      <alignment horizontal="center" vertical="center" wrapText="1"/>
    </xf>
    <xf numFmtId="0" fontId="91" fillId="5" borderId="23" xfId="0" applyFont="1" applyFill="1" applyBorder="1" applyAlignment="1">
      <alignment horizontal="center" vertical="center" wrapText="1"/>
    </xf>
  </cellXfs>
  <cellStyles count="15">
    <cellStyle name="20% - Accent1" xfId="9" builtinId="30"/>
    <cellStyle name="60% - Accent1" xfId="10" builtinId="32"/>
    <cellStyle name="Accent2" xfId="13" builtinId="33"/>
    <cellStyle name="Accent6" xfId="11" builtinId="49"/>
    <cellStyle name="Check Cell" xfId="14" builtinId="23"/>
    <cellStyle name="Heading 1" xfId="7" builtinId="16"/>
    <cellStyle name="Heading 2" xfId="8" builtinId="17"/>
    <cellStyle name="Heading 3" xfId="2" builtinId="18"/>
    <cellStyle name="Hyperlink" xfId="1" builtinId="8"/>
    <cellStyle name="Neutral" xfId="12" builtinId="28"/>
    <cellStyle name="Normal" xfId="0" builtinId="0"/>
    <cellStyle name="Normal 2" xfId="4" xr:uid="{00000000-0005-0000-0000-00000B000000}"/>
    <cellStyle name="Normal 3" xfId="5" xr:uid="{00000000-0005-0000-0000-00000C000000}"/>
    <cellStyle name="Percent" xfId="3" builtinId="5"/>
    <cellStyle name="Title" xfId="6" builtinId="15"/>
  </cellStyles>
  <dxfs count="62"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3743705557422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color theme="6" tint="-0.24994659260841701"/>
      </font>
    </dxf>
    <dxf>
      <font>
        <color rgb="FFFF0000"/>
      </font>
    </dxf>
    <dxf>
      <font>
        <color theme="0" tint="-0.24994659260841701"/>
      </font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FF9900"/>
      <color rgb="FFCCECFF"/>
      <color rgb="FF008000"/>
      <color rgb="FFFF9933"/>
      <color rgb="FF00CC00"/>
      <color rgb="FF0000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Course's</a:t>
            </a:r>
            <a:r>
              <a:rPr lang="en-US" baseline="0"/>
              <a:t> Grade Distribution</a:t>
            </a:r>
            <a:endParaRPr lang="en-US"/>
          </a:p>
        </c:rich>
      </c:tx>
      <c:overlay val="0"/>
      <c:spPr>
        <a:solidFill>
          <a:sysClr val="window" lastClr="FFFFFF"/>
        </a:solidFill>
        <a:ln w="25400" cap="flat" cmpd="sng" algn="ctr">
          <a:solidFill>
            <a:schemeClr val="bg1"/>
          </a:solidFill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'Overall Grades'!$D$55</c:f>
              <c:strCache>
                <c:ptCount val="1"/>
                <c:pt idx="0">
                  <c:v>No. of Students</c:v>
                </c:pt>
              </c:strCache>
            </c:strRef>
          </c:tx>
          <c:dLbls>
            <c:delete val="1"/>
          </c:dLbls>
          <c:cat>
            <c:strRef>
              <c:f>'Overall Grades'!$B$56:$B$67</c:f>
              <c:strCache>
                <c:ptCount val="12"/>
                <c:pt idx="0">
                  <c:v>F</c:v>
                </c:pt>
                <c:pt idx="1">
                  <c:v>D</c:v>
                </c:pt>
                <c:pt idx="2">
                  <c:v>D+</c:v>
                </c:pt>
                <c:pt idx="3">
                  <c:v>C-</c:v>
                </c:pt>
                <c:pt idx="4">
                  <c:v>C</c:v>
                </c:pt>
                <c:pt idx="5">
                  <c:v>C+</c:v>
                </c:pt>
                <c:pt idx="6">
                  <c:v>B-</c:v>
                </c:pt>
                <c:pt idx="7">
                  <c:v>B</c:v>
                </c:pt>
                <c:pt idx="8">
                  <c:v>B+</c:v>
                </c:pt>
                <c:pt idx="9">
                  <c:v>A-</c:v>
                </c:pt>
                <c:pt idx="10">
                  <c:v>A</c:v>
                </c:pt>
                <c:pt idx="11">
                  <c:v>A+</c:v>
                </c:pt>
              </c:strCache>
            </c:strRef>
          </c:cat>
          <c:val>
            <c:numRef>
              <c:f>'Overall Grades'!$D$56:$D$67</c:f>
              <c:numCache>
                <c:formatCode>General</c:formatCode>
                <c:ptCount val="12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2-47D1-A8B6-118D8B64DA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2088960"/>
        <c:axId val="112090496"/>
      </c:lineChart>
      <c:lineChart>
        <c:grouping val="standard"/>
        <c:varyColors val="0"/>
        <c:ser>
          <c:idx val="2"/>
          <c:order val="1"/>
          <c:tx>
            <c:strRef>
              <c:f>'Overall Grades'!$E$55</c:f>
              <c:strCache>
                <c:ptCount val="1"/>
                <c:pt idx="0">
                  <c:v>Percent</c:v>
                </c:pt>
              </c:strCache>
            </c:strRef>
          </c:tx>
          <c:cat>
            <c:strRef>
              <c:f>'Overall Grades'!$B$56:$B$67</c:f>
              <c:strCache>
                <c:ptCount val="12"/>
                <c:pt idx="0">
                  <c:v>F</c:v>
                </c:pt>
                <c:pt idx="1">
                  <c:v>D</c:v>
                </c:pt>
                <c:pt idx="2">
                  <c:v>D+</c:v>
                </c:pt>
                <c:pt idx="3">
                  <c:v>C-</c:v>
                </c:pt>
                <c:pt idx="4">
                  <c:v>C</c:v>
                </c:pt>
                <c:pt idx="5">
                  <c:v>C+</c:v>
                </c:pt>
                <c:pt idx="6">
                  <c:v>B-</c:v>
                </c:pt>
                <c:pt idx="7">
                  <c:v>B</c:v>
                </c:pt>
                <c:pt idx="8">
                  <c:v>B+</c:v>
                </c:pt>
                <c:pt idx="9">
                  <c:v>A-</c:v>
                </c:pt>
                <c:pt idx="10">
                  <c:v>A</c:v>
                </c:pt>
                <c:pt idx="11">
                  <c:v>A+</c:v>
                </c:pt>
              </c:strCache>
            </c:strRef>
          </c:cat>
          <c:val>
            <c:numRef>
              <c:f>'Overall Grades'!$E$56:$E$67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2-47D1-A8B6-118D8B64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097920"/>
        <c:axId val="112096384"/>
      </c:lineChart>
      <c:catAx>
        <c:axId val="112088960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crossAx val="112090496"/>
        <c:crosses val="max"/>
        <c:auto val="1"/>
        <c:lblAlgn val="ctr"/>
        <c:lblOffset val="100"/>
        <c:noMultiLvlLbl val="0"/>
      </c:catAx>
      <c:valAx>
        <c:axId val="112090496"/>
        <c:scaling>
          <c:orientation val="minMax"/>
          <c:max val="40"/>
          <c:min val="0"/>
        </c:scaling>
        <c:delete val="0"/>
        <c:axPos val="l"/>
        <c:majorGridlines/>
        <c:numFmt formatCode="General" sourceLinked="1"/>
        <c:majorTickMark val="in"/>
        <c:minorTickMark val="in"/>
        <c:tickLblPos val="nextTo"/>
        <c:crossAx val="112088960"/>
        <c:crosses val="autoZero"/>
        <c:crossBetween val="between"/>
      </c:valAx>
      <c:valAx>
        <c:axId val="112096384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112097920"/>
        <c:crosses val="max"/>
        <c:crossBetween val="between"/>
      </c:valAx>
      <c:catAx>
        <c:axId val="1120979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2096384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</c:dTable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8575" cap="flat" cmpd="sng" algn="ctr">
      <a:solidFill>
        <a:schemeClr val="dk1"/>
      </a:solidFill>
      <a:prstDash val="solid"/>
    </a:ln>
    <a:effectLst/>
  </c:spPr>
  <c:txPr>
    <a:bodyPr/>
    <a:lstStyle/>
    <a:p>
      <a:pPr>
        <a:defRPr sz="18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'Students Survey'!$C$45:$N$45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7-4ECD-B449-DEDD1E2CC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154944"/>
        <c:axId val="117156480"/>
      </c:barChart>
      <c:catAx>
        <c:axId val="117154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17156480"/>
        <c:crosses val="autoZero"/>
        <c:auto val="1"/>
        <c:lblAlgn val="ctr"/>
        <c:lblOffset val="100"/>
        <c:noMultiLvlLbl val="0"/>
      </c:catAx>
      <c:valAx>
        <c:axId val="11715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154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Quantitative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Analysis'!$AB$28:$AB$39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4-4CC5-A36B-AABE6BC7C1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2506752"/>
        <c:axId val="112603904"/>
      </c:barChart>
      <c:catAx>
        <c:axId val="1125067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2603904"/>
        <c:crosses val="autoZero"/>
        <c:auto val="1"/>
        <c:lblAlgn val="ctr"/>
        <c:lblOffset val="100"/>
        <c:noMultiLvlLbl val="0"/>
      </c:catAx>
      <c:valAx>
        <c:axId val="1126039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506752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2.6890742068025122E-3"/>
                  <c:y val="-4.166666666666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ED-4ED8-961E-03F3C5BDE3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Analysis'!$AB$49:$AB$60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D-4ED8-961E-03F3C5BDE3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2632576"/>
        <c:axId val="112635264"/>
      </c:barChart>
      <c:catAx>
        <c:axId val="1126325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2635264"/>
        <c:crosses val="autoZero"/>
        <c:auto val="1"/>
        <c:lblAlgn val="ctr"/>
        <c:lblOffset val="100"/>
        <c:noMultiLvlLbl val="0"/>
      </c:catAx>
      <c:valAx>
        <c:axId val="112635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63257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Quantitative Course Outcomes Assessment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2-4987-9D14-7DBAB5DF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2643456"/>
        <c:axId val="117732480"/>
      </c:barChart>
      <c:catAx>
        <c:axId val="1126434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7732480"/>
        <c:crosses val="autoZero"/>
        <c:auto val="1"/>
        <c:lblAlgn val="ctr"/>
        <c:lblOffset val="100"/>
        <c:noMultiLvlLbl val="0"/>
      </c:catAx>
      <c:valAx>
        <c:axId val="117732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264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Course Outcomes - Performance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374520248754638E-2"/>
          <c:y val="0.1910671166104238"/>
          <c:w val="0.8990831845753755"/>
          <c:h val="0.561459617547807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4E0-AB74-D2BB05C8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7744768"/>
        <c:axId val="117746304"/>
      </c:barChart>
      <c:catAx>
        <c:axId val="117744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117746304"/>
        <c:crosses val="autoZero"/>
        <c:auto val="1"/>
        <c:lblAlgn val="ctr"/>
        <c:lblOffset val="100"/>
        <c:noMultiLvlLbl val="0"/>
      </c:catAx>
      <c:valAx>
        <c:axId val="117746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744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2.6890742068025122E-3"/>
                  <c:y val="-4.166666666666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81-4B28-BE20-9B0267F1F7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Analysis'!$AB$28:$AB$39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1-4B28-BE20-9B0267F1F7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1977088"/>
        <c:axId val="121980032"/>
      </c:barChart>
      <c:catAx>
        <c:axId val="121977088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980032"/>
        <c:crosses val="autoZero"/>
        <c:auto val="1"/>
        <c:lblAlgn val="ctr"/>
        <c:lblOffset val="100"/>
        <c:noMultiLvlLbl val="0"/>
      </c:catAx>
      <c:valAx>
        <c:axId val="121980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97708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Course Outcomes - Survey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374520248754638E-2"/>
          <c:y val="0.1910671166104238"/>
          <c:w val="0.8990831845753755"/>
          <c:h val="0.561459617547807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6-4623-BD88-F38BDDDD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22008704"/>
        <c:axId val="122010240"/>
      </c:barChart>
      <c:catAx>
        <c:axId val="1220087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22010240"/>
        <c:crosses val="autoZero"/>
        <c:auto val="1"/>
        <c:lblAlgn val="ctr"/>
        <c:lblOffset val="100"/>
        <c:noMultiLvlLbl val="0"/>
      </c:catAx>
      <c:valAx>
        <c:axId val="122010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2200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SO Degree of Attainment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127279184902894E-2"/>
          <c:y val="0.11607611708163006"/>
          <c:w val="0.86335246105849184"/>
          <c:h val="0.75433468737167275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'ABET SO Analysis'!$I$65:$I$70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1-4581-9D9E-48D72F307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7578368"/>
        <c:axId val="117614464"/>
      </c:barChart>
      <c:catAx>
        <c:axId val="11757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SO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7614464"/>
        <c:crosses val="autoZero"/>
        <c:auto val="1"/>
        <c:lblAlgn val="ctr"/>
        <c:lblOffset val="100"/>
        <c:noMultiLvlLbl val="0"/>
      </c:catAx>
      <c:valAx>
        <c:axId val="117614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Attainment Level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7578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chart" Target="../charts/chart9.xml"/><Relationship Id="rId5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392907</xdr:colOff>
      <xdr:row>0</xdr:row>
      <xdr:rowOff>0</xdr:rowOff>
    </xdr:from>
    <xdr:to>
      <xdr:col>6</xdr:col>
      <xdr:colOff>2166937</xdr:colOff>
      <xdr:row>5</xdr:row>
      <xdr:rowOff>166688</xdr:rowOff>
    </xdr:to>
    <xdr:pic>
      <xdr:nvPicPr>
        <xdr:cNvPr id="8" name="Picture 7" descr="ADP-Logo-Fin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62813" y="0"/>
          <a:ext cx="1774030" cy="1119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53</xdr:row>
      <xdr:rowOff>19050</xdr:rowOff>
    </xdr:from>
    <xdr:to>
      <xdr:col>10</xdr:col>
      <xdr:colOff>2000250</xdr:colOff>
      <xdr:row>67</xdr:row>
      <xdr:rowOff>361950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323850</xdr:colOff>
      <xdr:row>0</xdr:row>
      <xdr:rowOff>0</xdr:rowOff>
    </xdr:from>
    <xdr:to>
      <xdr:col>10</xdr:col>
      <xdr:colOff>1371600</xdr:colOff>
      <xdr:row>1</xdr:row>
      <xdr:rowOff>628650</xdr:rowOff>
    </xdr:to>
    <xdr:pic>
      <xdr:nvPicPr>
        <xdr:cNvPr id="2" name="Picture 1" descr="ADP-Logo-Final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831050" y="0"/>
          <a:ext cx="3124200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6</xdr:row>
      <xdr:rowOff>19050</xdr:rowOff>
    </xdr:from>
    <xdr:to>
      <xdr:col>21</xdr:col>
      <xdr:colOff>28574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2466975</xdr:colOff>
      <xdr:row>1</xdr:row>
      <xdr:rowOff>0</xdr:rowOff>
    </xdr:from>
    <xdr:to>
      <xdr:col>3</xdr:col>
      <xdr:colOff>3086100</xdr:colOff>
      <xdr:row>4</xdr:row>
      <xdr:rowOff>133350</xdr:rowOff>
    </xdr:to>
    <xdr:pic>
      <xdr:nvPicPr>
        <xdr:cNvPr id="2" name="Picture 4" descr="product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81225" y="0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3297633</xdr:colOff>
      <xdr:row>1</xdr:row>
      <xdr:rowOff>0</xdr:rowOff>
    </xdr:from>
    <xdr:to>
      <xdr:col>4</xdr:col>
      <xdr:colOff>2164159</xdr:colOff>
      <xdr:row>5</xdr:row>
      <xdr:rowOff>219075</xdr:rowOff>
    </xdr:to>
    <xdr:pic>
      <xdr:nvPicPr>
        <xdr:cNvPr id="4" name="Picture 3" descr="ADP-Logo-Final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0602" y="188516"/>
          <a:ext cx="5820570" cy="113188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297656</xdr:colOff>
      <xdr:row>34</xdr:row>
      <xdr:rowOff>178593</xdr:rowOff>
    </xdr:from>
    <xdr:to>
      <xdr:col>2</xdr:col>
      <xdr:colOff>1240234</xdr:colOff>
      <xdr:row>49</xdr:row>
      <xdr:rowOff>94059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9922</xdr:colOff>
      <xdr:row>35</xdr:row>
      <xdr:rowOff>19845</xdr:rowOff>
    </xdr:from>
    <xdr:to>
      <xdr:col>5</xdr:col>
      <xdr:colOff>773908</xdr:colOff>
      <xdr:row>49</xdr:row>
      <xdr:rowOff>123826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307579</xdr:colOff>
      <xdr:row>23</xdr:row>
      <xdr:rowOff>29765</xdr:rowOff>
    </xdr:from>
    <xdr:to>
      <xdr:col>2</xdr:col>
      <xdr:colOff>1230313</xdr:colOff>
      <xdr:row>33</xdr:row>
      <xdr:rowOff>138906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1329532</xdr:colOff>
      <xdr:row>22</xdr:row>
      <xdr:rowOff>158750</xdr:rowOff>
    </xdr:from>
    <xdr:to>
      <xdr:col>9</xdr:col>
      <xdr:colOff>535783</xdr:colOff>
      <xdr:row>33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1270000</xdr:colOff>
      <xdr:row>35</xdr:row>
      <xdr:rowOff>39688</xdr:rowOff>
    </xdr:from>
    <xdr:to>
      <xdr:col>9</xdr:col>
      <xdr:colOff>625081</xdr:colOff>
      <xdr:row>49</xdr:row>
      <xdr:rowOff>143669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267891</xdr:colOff>
      <xdr:row>22</xdr:row>
      <xdr:rowOff>148828</xdr:rowOff>
    </xdr:from>
    <xdr:to>
      <xdr:col>5</xdr:col>
      <xdr:colOff>883047</xdr:colOff>
      <xdr:row>33</xdr:row>
      <xdr:rowOff>69453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</xdr:row>
      <xdr:rowOff>126920</xdr:rowOff>
    </xdr:from>
    <xdr:to>
      <xdr:col>0</xdr:col>
      <xdr:colOff>0</xdr:colOff>
      <xdr:row>112</xdr:row>
      <xdr:rowOff>127280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1300-000008000000}"/>
                </a:ext>
              </a:extLst>
            </xdr14:cNvPr>
            <xdr14:cNvContentPartPr/>
          </xdr14:nvContentPartPr>
          <xdr14:nvPr macro=""/>
          <xdr14:xfrm>
            <a:off x="30119400" y="18118587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2D63DB-34A7-4A1D-9753-B29568F6C71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110760" y="181095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1232807</xdr:colOff>
      <xdr:row>71</xdr:row>
      <xdr:rowOff>178253</xdr:rowOff>
    </xdr:from>
    <xdr:to>
      <xdr:col>11</xdr:col>
      <xdr:colOff>756558</xdr:colOff>
      <xdr:row>101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5-11T18:49:46.92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7:N33"/>
  <sheetViews>
    <sheetView topLeftCell="A22" zoomScale="80" zoomScaleNormal="80" workbookViewId="0">
      <selection activeCell="H27" sqref="H27"/>
    </sheetView>
  </sheetViews>
  <sheetFormatPr defaultRowHeight="15" x14ac:dyDescent="0.25"/>
  <cols>
    <col min="1" max="1" width="9.140625" customWidth="1"/>
    <col min="3" max="3" width="13" customWidth="1"/>
    <col min="4" max="4" width="25.140625" customWidth="1"/>
    <col min="5" max="5" width="9.140625" customWidth="1"/>
    <col min="6" max="6" width="37.5703125" customWidth="1"/>
    <col min="7" max="7" width="52.85546875" customWidth="1"/>
    <col min="8" max="8" width="27.42578125" customWidth="1"/>
    <col min="11" max="11" width="18.28515625" customWidth="1"/>
    <col min="14" max="14" width="13.85546875" customWidth="1"/>
  </cols>
  <sheetData>
    <row r="7" spans="1:11" ht="15.75" thickBot="1" x14ac:dyDescent="0.3"/>
    <row r="8" spans="1:11" ht="25.5" customHeight="1" x14ac:dyDescent="0.25">
      <c r="A8" s="1"/>
      <c r="C8" s="11"/>
      <c r="D8" s="485" t="s">
        <v>300</v>
      </c>
      <c r="E8" s="486"/>
      <c r="F8" s="486"/>
      <c r="G8" s="486"/>
      <c r="H8" s="486"/>
      <c r="I8" s="486"/>
      <c r="J8" s="486"/>
      <c r="K8" s="487"/>
    </row>
    <row r="9" spans="1:11" ht="26.25" customHeight="1" thickBot="1" x14ac:dyDescent="0.3">
      <c r="C9" s="11"/>
      <c r="D9" s="488"/>
      <c r="E9" s="489"/>
      <c r="F9" s="489"/>
      <c r="G9" s="489"/>
      <c r="H9" s="489"/>
      <c r="I9" s="489"/>
      <c r="J9" s="489"/>
      <c r="K9" s="490"/>
    </row>
    <row r="11" spans="1:11" ht="18" x14ac:dyDescent="0.25">
      <c r="F11" s="1" t="s">
        <v>32</v>
      </c>
      <c r="G11" s="19" t="s">
        <v>30</v>
      </c>
      <c r="H11" s="19" t="s">
        <v>27</v>
      </c>
      <c r="J11" s="9"/>
    </row>
    <row r="12" spans="1:11" ht="15.75" x14ac:dyDescent="0.25">
      <c r="F12" s="19" t="s">
        <v>29</v>
      </c>
      <c r="G12" s="19" t="s">
        <v>305</v>
      </c>
      <c r="H12" s="19" t="s">
        <v>28</v>
      </c>
    </row>
    <row r="13" spans="1:11" ht="15.75" x14ac:dyDescent="0.25">
      <c r="F13" s="19" t="s">
        <v>23</v>
      </c>
      <c r="G13" s="1" t="s">
        <v>281</v>
      </c>
      <c r="H13" s="19" t="s">
        <v>25</v>
      </c>
    </row>
    <row r="14" spans="1:11" ht="15.75" x14ac:dyDescent="0.25">
      <c r="F14" s="19" t="s">
        <v>24</v>
      </c>
      <c r="G14" s="1" t="s">
        <v>299</v>
      </c>
      <c r="H14" s="20" t="s">
        <v>26</v>
      </c>
    </row>
    <row r="15" spans="1:11" ht="15.75" x14ac:dyDescent="0.25">
      <c r="G15" s="10"/>
    </row>
    <row r="17" spans="3:14" ht="15.75" x14ac:dyDescent="0.25">
      <c r="D17" s="12"/>
      <c r="E17" s="12"/>
      <c r="F17" s="12"/>
      <c r="G17" s="12"/>
      <c r="H17" s="12"/>
      <c r="I17" s="12"/>
      <c r="J17" s="12"/>
    </row>
    <row r="18" spans="3:14" ht="15.75" x14ac:dyDescent="0.25">
      <c r="D18" s="12"/>
      <c r="E18" s="12"/>
      <c r="F18" s="12"/>
      <c r="G18" s="12"/>
      <c r="H18" s="12"/>
      <c r="I18" s="12"/>
      <c r="J18" s="12"/>
    </row>
    <row r="19" spans="3:14" ht="15.75" thickBot="1" x14ac:dyDescent="0.3"/>
    <row r="20" spans="3:14" ht="40.5" customHeight="1" thickBot="1" x14ac:dyDescent="0.3">
      <c r="C20" s="512" t="s">
        <v>301</v>
      </c>
      <c r="D20" s="513"/>
      <c r="E20" s="513"/>
      <c r="F20" s="513"/>
      <c r="G20" s="513"/>
      <c r="H20" s="513"/>
      <c r="I20" s="513"/>
      <c r="J20" s="513"/>
      <c r="K20" s="513"/>
      <c r="L20" s="513"/>
      <c r="M20" s="513"/>
      <c r="N20" s="514"/>
    </row>
    <row r="21" spans="3:14" ht="15.75" customHeight="1" thickBot="1" x14ac:dyDescent="0.3">
      <c r="C21" s="503" t="s">
        <v>303</v>
      </c>
      <c r="D21" s="504"/>
      <c r="E21" s="515" t="s">
        <v>304</v>
      </c>
      <c r="F21" s="516"/>
      <c r="G21" s="516"/>
      <c r="H21" s="516"/>
      <c r="I21" s="516"/>
      <c r="J21" s="516"/>
      <c r="K21" s="516"/>
      <c r="L21" s="516"/>
      <c r="M21" s="516"/>
      <c r="N21" s="517"/>
    </row>
    <row r="22" spans="3:14" ht="15.75" customHeight="1" x14ac:dyDescent="0.25">
      <c r="C22" s="505">
        <v>1</v>
      </c>
      <c r="D22" s="506"/>
      <c r="E22" s="491" t="s">
        <v>308</v>
      </c>
      <c r="F22" s="492"/>
      <c r="G22" s="509" t="s">
        <v>333</v>
      </c>
      <c r="H22" s="510"/>
      <c r="I22" s="510"/>
      <c r="J22" s="510"/>
      <c r="K22" s="510"/>
      <c r="L22" s="510"/>
      <c r="M22" s="510"/>
      <c r="N22" s="511"/>
    </row>
    <row r="23" spans="3:14" ht="15.75" customHeight="1" x14ac:dyDescent="0.25">
      <c r="C23" s="507">
        <v>2</v>
      </c>
      <c r="D23" s="508"/>
      <c r="E23" s="493" t="s">
        <v>307</v>
      </c>
      <c r="F23" s="494"/>
      <c r="G23" s="497" t="s">
        <v>334</v>
      </c>
      <c r="H23" s="498"/>
      <c r="I23" s="498"/>
      <c r="J23" s="498"/>
      <c r="K23" s="498"/>
      <c r="L23" s="498"/>
      <c r="M23" s="498"/>
      <c r="N23" s="499"/>
    </row>
    <row r="24" spans="3:14" ht="15.75" customHeight="1" x14ac:dyDescent="0.25">
      <c r="C24" s="507">
        <v>3</v>
      </c>
      <c r="D24" s="508"/>
      <c r="E24" s="493" t="s">
        <v>309</v>
      </c>
      <c r="F24" s="494"/>
      <c r="G24" s="497" t="s">
        <v>332</v>
      </c>
      <c r="H24" s="498"/>
      <c r="I24" s="498"/>
      <c r="J24" s="498"/>
      <c r="K24" s="498"/>
      <c r="L24" s="498"/>
      <c r="M24" s="498"/>
      <c r="N24" s="499"/>
    </row>
    <row r="25" spans="3:14" ht="15.75" customHeight="1" x14ac:dyDescent="0.25">
      <c r="C25" s="507">
        <v>4</v>
      </c>
      <c r="D25" s="508"/>
      <c r="E25" s="493" t="s">
        <v>329</v>
      </c>
      <c r="F25" s="494"/>
      <c r="G25" s="497" t="s">
        <v>331</v>
      </c>
      <c r="H25" s="498"/>
      <c r="I25" s="498"/>
      <c r="J25" s="498"/>
      <c r="K25" s="498"/>
      <c r="L25" s="498"/>
      <c r="M25" s="498"/>
      <c r="N25" s="499"/>
    </row>
    <row r="26" spans="3:14" ht="16.5" customHeight="1" thickBot="1" x14ac:dyDescent="0.3">
      <c r="C26" s="518">
        <v>5</v>
      </c>
      <c r="D26" s="519"/>
      <c r="E26" s="495" t="s">
        <v>306</v>
      </c>
      <c r="F26" s="496"/>
      <c r="G26" s="500" t="s">
        <v>330</v>
      </c>
      <c r="H26" s="501"/>
      <c r="I26" s="501"/>
      <c r="J26" s="501"/>
      <c r="K26" s="501"/>
      <c r="L26" s="501"/>
      <c r="M26" s="501"/>
      <c r="N26" s="502"/>
    </row>
    <row r="27" spans="3:14" x14ac:dyDescent="0.25">
      <c r="C27" s="56"/>
    </row>
    <row r="28" spans="3:14" ht="36.75" customHeight="1" thickBot="1" x14ac:dyDescent="0.3">
      <c r="C28" s="56"/>
    </row>
    <row r="29" spans="3:14" ht="32.25" customHeight="1" x14ac:dyDescent="0.25">
      <c r="C29" s="483" t="s">
        <v>47</v>
      </c>
      <c r="D29" s="477" t="s">
        <v>302</v>
      </c>
      <c r="E29" s="478"/>
      <c r="F29" s="478"/>
      <c r="G29" s="478"/>
      <c r="H29" s="478"/>
      <c r="I29" s="478"/>
      <c r="J29" s="478"/>
      <c r="K29" s="478"/>
      <c r="L29" s="478"/>
      <c r="M29" s="478"/>
      <c r="N29" s="479"/>
    </row>
    <row r="30" spans="3:14" ht="15.75" customHeight="1" thickBot="1" x14ac:dyDescent="0.3">
      <c r="C30" s="484"/>
      <c r="D30" s="480"/>
      <c r="E30" s="481"/>
      <c r="F30" s="481"/>
      <c r="G30" s="481"/>
      <c r="H30" s="481"/>
      <c r="I30" s="481"/>
      <c r="J30" s="481"/>
      <c r="K30" s="481"/>
      <c r="L30" s="481"/>
      <c r="M30" s="481"/>
      <c r="N30" s="482"/>
    </row>
    <row r="31" spans="3:14" x14ac:dyDescent="0.25">
      <c r="C31" s="56"/>
    </row>
    <row r="32" spans="3:14" x14ac:dyDescent="0.25">
      <c r="C32" s="56"/>
    </row>
    <row r="33" spans="3:3" x14ac:dyDescent="0.25">
      <c r="C33" s="56"/>
    </row>
  </sheetData>
  <mergeCells count="21">
    <mergeCell ref="C20:N20"/>
    <mergeCell ref="E21:N21"/>
    <mergeCell ref="C24:D24"/>
    <mergeCell ref="C25:D25"/>
    <mergeCell ref="C26:D26"/>
    <mergeCell ref="D29:N30"/>
    <mergeCell ref="C29:C30"/>
    <mergeCell ref="D8:K9"/>
    <mergeCell ref="E22:F22"/>
    <mergeCell ref="E23:F23"/>
    <mergeCell ref="E24:F24"/>
    <mergeCell ref="E25:F25"/>
    <mergeCell ref="E26:F26"/>
    <mergeCell ref="G25:N25"/>
    <mergeCell ref="G26:N26"/>
    <mergeCell ref="C21:D21"/>
    <mergeCell ref="C22:D22"/>
    <mergeCell ref="C23:D23"/>
    <mergeCell ref="G24:N24"/>
    <mergeCell ref="G22:N22"/>
    <mergeCell ref="G23:N23"/>
  </mergeCells>
  <hyperlinks>
    <hyperlink ref="F14" location="Laboratory!A1" display="Laboratory" xr:uid="{00000000-0004-0000-0000-000000000000}"/>
    <hyperlink ref="F12" location="'Course Analysis'!A1" display="Course Analysis" xr:uid="{00000000-0004-0000-0000-000001000000}"/>
    <hyperlink ref="F13" location="Homework!A1" display="Homework" xr:uid="{00000000-0004-0000-0000-000002000000}"/>
    <hyperlink ref="F11" location="'Course Report'!A1" display="Course Report" xr:uid="{00000000-0004-0000-0000-000003000000}"/>
    <hyperlink ref="G14" location="Report!Print_Area" display="Reports &amp; Presentations" xr:uid="{00000000-0004-0000-0000-000004000000}"/>
    <hyperlink ref="G13" location="Quizzes!Print_Area" display="Quizzes" xr:uid="{00000000-0004-0000-0000-000005000000}"/>
    <hyperlink ref="G11" location="'Course Information'!A1" display="Course Information" xr:uid="{00000000-0004-0000-0000-000006000000}"/>
    <hyperlink ref="H12" location="'Students Names and ID'!A1" display="Students Names and ID" xr:uid="{00000000-0004-0000-0000-000007000000}"/>
    <hyperlink ref="H11" location="'Students Survey'!A1" display="Student Survey" xr:uid="{00000000-0004-0000-0000-000008000000}"/>
    <hyperlink ref="H13" location="'Final Exam'!A1" display="Final Exam" xr:uid="{00000000-0004-0000-0000-000009000000}"/>
    <hyperlink ref="H14" location="Midterm!A1" display="Midterm Exam" xr:uid="{00000000-0004-0000-0000-00000A000000}"/>
  </hyperlinks>
  <pageMargins left="0.25" right="0.25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D59"/>
  <sheetViews>
    <sheetView tabSelected="1" zoomScale="60" zoomScaleNormal="60" workbookViewId="0">
      <selection activeCell="E3" sqref="E3"/>
    </sheetView>
  </sheetViews>
  <sheetFormatPr defaultRowHeight="15" x14ac:dyDescent="0.25"/>
  <cols>
    <col min="1" max="1" width="32.5703125" customWidth="1"/>
    <col min="2" max="2" width="115.7109375" customWidth="1"/>
    <col min="3" max="3" width="20.7109375" customWidth="1"/>
    <col min="4" max="4" width="18.5703125" customWidth="1"/>
    <col min="5" max="5" width="31" customWidth="1"/>
    <col min="6" max="6" width="30.7109375" customWidth="1"/>
  </cols>
  <sheetData>
    <row r="1" spans="1:4" ht="15.75" x14ac:dyDescent="0.25">
      <c r="B1" s="358" t="s">
        <v>33</v>
      </c>
      <c r="C1" s="350"/>
    </row>
    <row r="2" spans="1:4" ht="15.75" x14ac:dyDescent="0.25">
      <c r="B2" s="359" t="s">
        <v>188</v>
      </c>
      <c r="C2" s="351"/>
      <c r="D2" s="2"/>
    </row>
    <row r="3" spans="1:4" ht="15.75" x14ac:dyDescent="0.25">
      <c r="B3" s="359" t="s">
        <v>341</v>
      </c>
      <c r="C3" s="351"/>
      <c r="D3" s="2"/>
    </row>
    <row r="4" spans="1:4" ht="15.75" x14ac:dyDescent="0.25">
      <c r="B4" s="359" t="s">
        <v>296</v>
      </c>
      <c r="C4" s="351"/>
    </row>
    <row r="5" spans="1:4" ht="15.75" x14ac:dyDescent="0.25">
      <c r="B5" s="359" t="s">
        <v>266</v>
      </c>
      <c r="C5" s="351"/>
    </row>
    <row r="6" spans="1:4" ht="16.5" thickBot="1" x14ac:dyDescent="0.3">
      <c r="B6" s="360" t="s">
        <v>46</v>
      </c>
      <c r="C6" s="352"/>
    </row>
    <row r="7" spans="1:4" ht="15.75" customHeight="1" x14ac:dyDescent="0.25"/>
    <row r="8" spans="1:4" ht="15" customHeight="1" thickBot="1" x14ac:dyDescent="0.3"/>
    <row r="9" spans="1:4" ht="15.6" customHeight="1" x14ac:dyDescent="0.25">
      <c r="A9" s="345" t="s">
        <v>132</v>
      </c>
      <c r="B9" s="346" t="s">
        <v>418</v>
      </c>
      <c r="C9" s="520" t="s">
        <v>297</v>
      </c>
      <c r="D9" s="521"/>
    </row>
    <row r="10" spans="1:4" ht="14.45" customHeight="1" x14ac:dyDescent="0.25">
      <c r="A10" s="356">
        <v>1</v>
      </c>
      <c r="B10" s="361"/>
      <c r="C10" s="7"/>
      <c r="D10" s="353"/>
    </row>
    <row r="11" spans="1:4" ht="14.45" customHeight="1" x14ac:dyDescent="0.25">
      <c r="A11" s="356">
        <v>2</v>
      </c>
      <c r="B11" s="361"/>
      <c r="C11" s="7"/>
      <c r="D11" s="353"/>
    </row>
    <row r="12" spans="1:4" ht="14.45" customHeight="1" x14ac:dyDescent="0.25">
      <c r="A12" s="356">
        <v>3</v>
      </c>
      <c r="B12" s="361"/>
      <c r="C12" s="7"/>
      <c r="D12" s="353"/>
    </row>
    <row r="13" spans="1:4" ht="14.45" customHeight="1" x14ac:dyDescent="0.25">
      <c r="A13" s="356">
        <v>4</v>
      </c>
      <c r="B13" s="361"/>
      <c r="C13" s="7"/>
      <c r="D13" s="353"/>
    </row>
    <row r="14" spans="1:4" x14ac:dyDescent="0.25">
      <c r="A14" s="356">
        <v>5</v>
      </c>
      <c r="B14" s="361"/>
      <c r="C14" s="7"/>
      <c r="D14" s="353"/>
    </row>
    <row r="15" spans="1:4" x14ac:dyDescent="0.25">
      <c r="A15" s="356">
        <v>6</v>
      </c>
      <c r="B15" s="361"/>
      <c r="C15" s="7"/>
      <c r="D15" s="353"/>
    </row>
    <row r="16" spans="1:4" x14ac:dyDescent="0.25">
      <c r="A16" s="356">
        <v>7</v>
      </c>
      <c r="B16" s="361"/>
      <c r="C16" s="7"/>
      <c r="D16" s="353"/>
    </row>
    <row r="17" spans="1:4" x14ac:dyDescent="0.25">
      <c r="A17" s="356">
        <v>8</v>
      </c>
      <c r="B17" s="361"/>
      <c r="C17" s="7"/>
      <c r="D17" s="353"/>
    </row>
    <row r="18" spans="1:4" x14ac:dyDescent="0.25">
      <c r="A18" s="356">
        <v>9</v>
      </c>
      <c r="B18" s="361"/>
      <c r="C18" s="7"/>
      <c r="D18" s="353"/>
    </row>
    <row r="19" spans="1:4" x14ac:dyDescent="0.25">
      <c r="A19" s="356">
        <v>10</v>
      </c>
      <c r="B19" s="361"/>
      <c r="C19" s="7"/>
      <c r="D19" s="353"/>
    </row>
    <row r="20" spans="1:4" x14ac:dyDescent="0.25">
      <c r="A20" s="356">
        <v>11</v>
      </c>
      <c r="B20" s="361"/>
      <c r="C20" s="7"/>
      <c r="D20" s="353"/>
    </row>
    <row r="21" spans="1:4" ht="15.75" thickBot="1" x14ac:dyDescent="0.3">
      <c r="A21" s="357">
        <v>12</v>
      </c>
      <c r="B21" s="362"/>
      <c r="C21" s="354"/>
      <c r="D21" s="355"/>
    </row>
    <row r="22" spans="1:4" ht="15.75" thickBot="1" x14ac:dyDescent="0.3"/>
    <row r="23" spans="1:4" ht="15.75" x14ac:dyDescent="0.25">
      <c r="A23" s="345" t="s">
        <v>294</v>
      </c>
      <c r="B23" s="346" t="s">
        <v>295</v>
      </c>
      <c r="C23" s="520" t="s">
        <v>133</v>
      </c>
      <c r="D23" s="521"/>
    </row>
    <row r="24" spans="1:4" ht="26.25" x14ac:dyDescent="0.25">
      <c r="A24" s="356">
        <v>1</v>
      </c>
      <c r="B24" s="361" t="s">
        <v>345</v>
      </c>
      <c r="C24" s="522"/>
      <c r="D24" s="523"/>
    </row>
    <row r="25" spans="1:4" ht="26.25" x14ac:dyDescent="0.25">
      <c r="A25" s="356">
        <v>2</v>
      </c>
      <c r="B25" s="361" t="s">
        <v>352</v>
      </c>
      <c r="C25" s="522"/>
      <c r="D25" s="523"/>
    </row>
    <row r="26" spans="1:4" ht="26.25" x14ac:dyDescent="0.25">
      <c r="A26" s="356">
        <v>3</v>
      </c>
      <c r="B26" s="361" t="s">
        <v>357</v>
      </c>
      <c r="C26" s="522"/>
      <c r="D26" s="523"/>
    </row>
    <row r="27" spans="1:4" x14ac:dyDescent="0.25">
      <c r="A27" s="356">
        <v>4</v>
      </c>
      <c r="B27" s="361" t="s">
        <v>362</v>
      </c>
      <c r="C27" s="522"/>
      <c r="D27" s="523"/>
    </row>
    <row r="28" spans="1:4" x14ac:dyDescent="0.25">
      <c r="A28" s="356">
        <v>5</v>
      </c>
      <c r="B28" s="361" t="s">
        <v>367</v>
      </c>
      <c r="C28" s="522"/>
      <c r="D28" s="523"/>
    </row>
    <row r="29" spans="1:4" ht="15.75" thickBot="1" x14ac:dyDescent="0.3">
      <c r="A29" s="357">
        <v>6</v>
      </c>
      <c r="B29" s="362" t="s">
        <v>372</v>
      </c>
      <c r="C29" s="524"/>
      <c r="D29" s="525"/>
    </row>
    <row r="30" spans="1:4" hidden="1" x14ac:dyDescent="0.25">
      <c r="A30" s="363">
        <v>7</v>
      </c>
      <c r="B30" s="364"/>
      <c r="C30" s="526"/>
      <c r="D30" s="527"/>
    </row>
    <row r="31" spans="1:4" hidden="1" x14ac:dyDescent="0.25">
      <c r="A31" s="356">
        <v>8</v>
      </c>
      <c r="B31" s="361"/>
      <c r="C31" s="522"/>
      <c r="D31" s="523"/>
    </row>
    <row r="32" spans="1:4" hidden="1" x14ac:dyDescent="0.25">
      <c r="A32" s="356">
        <v>9</v>
      </c>
      <c r="B32" s="361"/>
      <c r="C32" s="522"/>
      <c r="D32" s="523"/>
    </row>
    <row r="33" spans="1:4" hidden="1" x14ac:dyDescent="0.25">
      <c r="A33" s="356">
        <v>10</v>
      </c>
      <c r="B33" s="361"/>
      <c r="C33" s="522"/>
      <c r="D33" s="523"/>
    </row>
    <row r="34" spans="1:4" hidden="1" x14ac:dyDescent="0.25">
      <c r="A34" s="356">
        <v>11</v>
      </c>
      <c r="B34" s="361"/>
      <c r="C34" s="522"/>
      <c r="D34" s="523"/>
    </row>
    <row r="35" spans="1:4" ht="15.75" hidden="1" thickBot="1" x14ac:dyDescent="0.3">
      <c r="A35" s="357">
        <v>12</v>
      </c>
      <c r="B35" s="362"/>
      <c r="C35" s="524"/>
      <c r="D35" s="525"/>
    </row>
    <row r="37" spans="1:4" ht="15.75" thickBot="1" x14ac:dyDescent="0.3"/>
    <row r="38" spans="1:4" ht="15.75" thickBot="1" x14ac:dyDescent="0.3">
      <c r="A38" s="336" t="s">
        <v>379</v>
      </c>
      <c r="B38" s="336" t="s">
        <v>381</v>
      </c>
      <c r="C38" s="532" t="s">
        <v>380</v>
      </c>
      <c r="D38" s="533"/>
    </row>
    <row r="39" spans="1:4" ht="48.75" customHeight="1" x14ac:dyDescent="0.25">
      <c r="A39" s="337"/>
      <c r="B39" s="341" t="s">
        <v>345</v>
      </c>
      <c r="C39" s="534" t="s">
        <v>421</v>
      </c>
      <c r="D39" s="535"/>
    </row>
    <row r="40" spans="1:4" x14ac:dyDescent="0.25">
      <c r="A40" s="338" t="s">
        <v>346</v>
      </c>
      <c r="B40" s="302" t="s">
        <v>347</v>
      </c>
      <c r="C40" s="528">
        <v>0.25</v>
      </c>
      <c r="D40" s="529"/>
    </row>
    <row r="41" spans="1:4" x14ac:dyDescent="0.25">
      <c r="A41" s="338" t="s">
        <v>350</v>
      </c>
      <c r="B41" s="302" t="s">
        <v>348</v>
      </c>
      <c r="C41" s="528">
        <v>0.25</v>
      </c>
      <c r="D41" s="529"/>
    </row>
    <row r="42" spans="1:4" x14ac:dyDescent="0.25">
      <c r="A42" s="338" t="s">
        <v>384</v>
      </c>
      <c r="B42" s="303" t="s">
        <v>349</v>
      </c>
      <c r="C42" s="528">
        <v>0.25</v>
      </c>
      <c r="D42" s="529"/>
    </row>
    <row r="43" spans="1:4" x14ac:dyDescent="0.25">
      <c r="A43" s="338" t="s">
        <v>386</v>
      </c>
      <c r="B43" s="302" t="s">
        <v>351</v>
      </c>
      <c r="C43" s="528">
        <v>0.25</v>
      </c>
      <c r="D43" s="529"/>
    </row>
    <row r="44" spans="1:4" ht="29.25" x14ac:dyDescent="0.25">
      <c r="A44" s="339"/>
      <c r="B44" s="342" t="s">
        <v>387</v>
      </c>
      <c r="C44" s="530"/>
      <c r="D44" s="531"/>
    </row>
    <row r="45" spans="1:4" x14ac:dyDescent="0.25">
      <c r="A45" s="338" t="s">
        <v>353</v>
      </c>
      <c r="B45" s="302" t="s">
        <v>354</v>
      </c>
      <c r="C45" s="528">
        <v>0.5</v>
      </c>
      <c r="D45" s="529"/>
    </row>
    <row r="46" spans="1:4" x14ac:dyDescent="0.25">
      <c r="A46" s="338" t="s">
        <v>355</v>
      </c>
      <c r="B46" s="302" t="s">
        <v>356</v>
      </c>
      <c r="C46" s="528">
        <v>0.5</v>
      </c>
      <c r="D46" s="529"/>
    </row>
    <row r="47" spans="1:4" ht="42.75" customHeight="1" x14ac:dyDescent="0.25">
      <c r="A47" s="339"/>
      <c r="B47" s="343" t="s">
        <v>357</v>
      </c>
      <c r="C47" s="530"/>
      <c r="D47" s="531"/>
    </row>
    <row r="48" spans="1:4" x14ac:dyDescent="0.25">
      <c r="A48" s="338" t="s">
        <v>358</v>
      </c>
      <c r="B48" s="306" t="s">
        <v>390</v>
      </c>
      <c r="C48" s="528">
        <v>0.45</v>
      </c>
      <c r="D48" s="529"/>
    </row>
    <row r="49" spans="1:4" x14ac:dyDescent="0.25">
      <c r="A49" s="338" t="s">
        <v>359</v>
      </c>
      <c r="B49" s="306" t="s">
        <v>360</v>
      </c>
      <c r="C49" s="528">
        <v>0.3</v>
      </c>
      <c r="D49" s="529"/>
    </row>
    <row r="50" spans="1:4" x14ac:dyDescent="0.25">
      <c r="A50" s="338" t="s">
        <v>392</v>
      </c>
      <c r="B50" s="306" t="s">
        <v>361</v>
      </c>
      <c r="C50" s="528">
        <v>0.25</v>
      </c>
      <c r="D50" s="529"/>
    </row>
    <row r="51" spans="1:4" ht="29.25" x14ac:dyDescent="0.25">
      <c r="A51" s="339"/>
      <c r="B51" s="342" t="s">
        <v>362</v>
      </c>
      <c r="C51" s="530"/>
      <c r="D51" s="531"/>
    </row>
    <row r="52" spans="1:4" x14ac:dyDescent="0.25">
      <c r="A52" s="338" t="s">
        <v>363</v>
      </c>
      <c r="B52" s="306" t="s">
        <v>364</v>
      </c>
      <c r="C52" s="528">
        <v>0.65</v>
      </c>
      <c r="D52" s="529"/>
    </row>
    <row r="53" spans="1:4" x14ac:dyDescent="0.25">
      <c r="A53" s="338" t="s">
        <v>365</v>
      </c>
      <c r="B53" s="306" t="s">
        <v>366</v>
      </c>
      <c r="C53" s="528">
        <v>0.35</v>
      </c>
      <c r="D53" s="529"/>
    </row>
    <row r="54" spans="1:4" x14ac:dyDescent="0.25">
      <c r="A54" s="339"/>
      <c r="B54" s="342" t="s">
        <v>367</v>
      </c>
      <c r="C54" s="530"/>
      <c r="D54" s="531"/>
    </row>
    <row r="55" spans="1:4" ht="30" x14ac:dyDescent="0.25">
      <c r="A55" s="338" t="s">
        <v>368</v>
      </c>
      <c r="B55" s="309" t="s">
        <v>369</v>
      </c>
      <c r="C55" s="528">
        <v>0.6</v>
      </c>
      <c r="D55" s="529"/>
    </row>
    <row r="56" spans="1:4" x14ac:dyDescent="0.25">
      <c r="A56" s="338" t="s">
        <v>370</v>
      </c>
      <c r="B56" s="309" t="s">
        <v>371</v>
      </c>
      <c r="C56" s="528">
        <v>0.4</v>
      </c>
      <c r="D56" s="529"/>
    </row>
    <row r="57" spans="1:4" ht="28.5" customHeight="1" x14ac:dyDescent="0.25">
      <c r="A57" s="339"/>
      <c r="B57" s="344" t="s">
        <v>372</v>
      </c>
      <c r="C57" s="530"/>
      <c r="D57" s="531"/>
    </row>
    <row r="58" spans="1:4" x14ac:dyDescent="0.25">
      <c r="A58" s="338" t="s">
        <v>373</v>
      </c>
      <c r="B58" s="306" t="s">
        <v>374</v>
      </c>
      <c r="C58" s="528">
        <v>0.5</v>
      </c>
      <c r="D58" s="529"/>
    </row>
    <row r="59" spans="1:4" ht="15.75" thickBot="1" x14ac:dyDescent="0.3">
      <c r="A59" s="340" t="s">
        <v>375</v>
      </c>
      <c r="B59" s="310" t="s">
        <v>376</v>
      </c>
      <c r="C59" s="536">
        <v>0.5</v>
      </c>
      <c r="D59" s="537"/>
    </row>
  </sheetData>
  <mergeCells count="36"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8:D48"/>
    <mergeCell ref="C49:D49"/>
    <mergeCell ref="C32:D32"/>
    <mergeCell ref="C33:D33"/>
    <mergeCell ref="C34:D34"/>
    <mergeCell ref="C35:D35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27:D27"/>
    <mergeCell ref="C28:D28"/>
    <mergeCell ref="C29:D29"/>
    <mergeCell ref="C30:D30"/>
    <mergeCell ref="C31:D31"/>
    <mergeCell ref="C9:D9"/>
    <mergeCell ref="C23:D23"/>
    <mergeCell ref="C24:D24"/>
    <mergeCell ref="C25:D25"/>
    <mergeCell ref="C26:D26"/>
  </mergeCells>
  <pageMargins left="0.25" right="0.25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41"/>
  <sheetViews>
    <sheetView workbookViewId="0">
      <selection activeCell="B13" sqref="B13"/>
    </sheetView>
  </sheetViews>
  <sheetFormatPr defaultColWidth="9.140625" defaultRowHeight="15" x14ac:dyDescent="0.25"/>
  <cols>
    <col min="1" max="1" width="6.5703125" style="97" customWidth="1"/>
    <col min="2" max="2" width="40.5703125" style="97" customWidth="1"/>
    <col min="3" max="3" width="27.85546875" style="97" customWidth="1"/>
    <col min="4" max="16384" width="9.140625" style="97"/>
  </cols>
  <sheetData>
    <row r="1" spans="1:12" ht="19.5" thickBot="1" x14ac:dyDescent="0.35">
      <c r="A1" s="117" t="s">
        <v>96</v>
      </c>
      <c r="B1" s="118" t="s">
        <v>1</v>
      </c>
      <c r="C1" s="119" t="s">
        <v>0</v>
      </c>
      <c r="E1" s="120"/>
      <c r="F1" s="121"/>
      <c r="G1" s="121"/>
      <c r="H1" s="121"/>
      <c r="I1" s="121"/>
      <c r="J1" s="121"/>
      <c r="K1" s="121"/>
      <c r="L1" s="121"/>
    </row>
    <row r="2" spans="1:12" ht="16.5" thickBot="1" x14ac:dyDescent="0.3">
      <c r="A2" s="122">
        <v>1</v>
      </c>
      <c r="B2" s="124"/>
      <c r="C2" s="124"/>
      <c r="E2" s="125"/>
      <c r="F2" s="126"/>
      <c r="G2" s="126"/>
      <c r="I2" s="127"/>
    </row>
    <row r="3" spans="1:12" ht="16.5" thickBot="1" x14ac:dyDescent="0.3">
      <c r="A3" s="122">
        <v>2</v>
      </c>
      <c r="B3" s="124"/>
      <c r="C3" s="124"/>
      <c r="E3" s="125"/>
      <c r="F3" s="126"/>
      <c r="G3" s="126"/>
      <c r="I3" s="125"/>
    </row>
    <row r="4" spans="1:12" ht="16.5" thickBot="1" x14ac:dyDescent="0.3">
      <c r="A4" s="122">
        <v>3</v>
      </c>
      <c r="B4" s="124"/>
      <c r="C4" s="124"/>
      <c r="E4" s="125"/>
      <c r="F4" s="126"/>
      <c r="G4" s="126"/>
      <c r="I4" s="125"/>
    </row>
    <row r="5" spans="1:12" ht="16.5" thickBot="1" x14ac:dyDescent="0.3">
      <c r="A5" s="122">
        <v>4</v>
      </c>
      <c r="B5" s="124"/>
      <c r="C5" s="124"/>
      <c r="E5" s="125"/>
      <c r="F5" s="126"/>
      <c r="G5" s="126"/>
      <c r="I5" s="125"/>
    </row>
    <row r="6" spans="1:12" ht="15.75" thickBot="1" x14ac:dyDescent="0.3">
      <c r="A6" s="122">
        <v>5</v>
      </c>
      <c r="B6" s="124"/>
      <c r="C6" s="124"/>
    </row>
    <row r="7" spans="1:12" ht="15.75" thickBot="1" x14ac:dyDescent="0.3">
      <c r="A7" s="122">
        <v>6</v>
      </c>
      <c r="B7" s="124"/>
      <c r="C7" s="124"/>
    </row>
    <row r="8" spans="1:12" ht="15.75" thickBot="1" x14ac:dyDescent="0.3">
      <c r="A8" s="122">
        <v>7</v>
      </c>
      <c r="B8" s="124"/>
      <c r="C8" s="124"/>
    </row>
    <row r="9" spans="1:12" ht="15.75" thickBot="1" x14ac:dyDescent="0.3">
      <c r="A9" s="122">
        <v>8</v>
      </c>
      <c r="B9" s="124"/>
      <c r="C9" s="124"/>
    </row>
    <row r="10" spans="1:12" ht="15.75" thickBot="1" x14ac:dyDescent="0.3">
      <c r="A10" s="122">
        <v>9</v>
      </c>
      <c r="B10" s="124"/>
      <c r="C10" s="124"/>
    </row>
    <row r="11" spans="1:12" ht="15.75" thickBot="1" x14ac:dyDescent="0.3">
      <c r="A11" s="122">
        <v>10</v>
      </c>
      <c r="B11" s="124"/>
      <c r="C11" s="124"/>
    </row>
    <row r="12" spans="1:12" ht="15.75" thickBot="1" x14ac:dyDescent="0.3">
      <c r="A12" s="122">
        <v>11</v>
      </c>
      <c r="B12" s="124"/>
      <c r="C12" s="124"/>
    </row>
    <row r="13" spans="1:12" ht="15.75" thickBot="1" x14ac:dyDescent="0.3">
      <c r="A13" s="122">
        <v>12</v>
      </c>
      <c r="B13" s="124"/>
      <c r="C13" s="124"/>
    </row>
    <row r="14" spans="1:12" ht="15.75" thickBot="1" x14ac:dyDescent="0.3">
      <c r="A14" s="122">
        <v>13</v>
      </c>
      <c r="B14" s="124"/>
      <c r="C14" s="124"/>
    </row>
    <row r="15" spans="1:12" ht="15.75" thickBot="1" x14ac:dyDescent="0.3">
      <c r="A15" s="122">
        <v>14</v>
      </c>
      <c r="B15" s="124"/>
      <c r="C15" s="124"/>
    </row>
    <row r="16" spans="1:12" ht="15.75" thickBot="1" x14ac:dyDescent="0.3">
      <c r="A16" s="122">
        <v>15</v>
      </c>
      <c r="B16" s="124"/>
      <c r="C16" s="124"/>
    </row>
    <row r="17" spans="1:3" ht="15.75" thickBot="1" x14ac:dyDescent="0.3">
      <c r="A17" s="122">
        <v>16</v>
      </c>
      <c r="B17" s="124"/>
      <c r="C17" s="124"/>
    </row>
    <row r="18" spans="1:3" ht="15.75" thickBot="1" x14ac:dyDescent="0.3">
      <c r="A18" s="122">
        <v>17</v>
      </c>
      <c r="B18" s="124"/>
      <c r="C18" s="124"/>
    </row>
    <row r="19" spans="1:3" ht="15.75" thickBot="1" x14ac:dyDescent="0.3">
      <c r="A19" s="122">
        <v>18</v>
      </c>
      <c r="B19" s="124"/>
      <c r="C19" s="124"/>
    </row>
    <row r="20" spans="1:3" ht="15.75" thickBot="1" x14ac:dyDescent="0.3">
      <c r="A20" s="122">
        <v>19</v>
      </c>
      <c r="B20" s="124"/>
      <c r="C20" s="124"/>
    </row>
    <row r="21" spans="1:3" ht="15.75" thickBot="1" x14ac:dyDescent="0.3">
      <c r="A21" s="122">
        <v>20</v>
      </c>
      <c r="B21" s="124"/>
      <c r="C21" s="124"/>
    </row>
    <row r="22" spans="1:3" ht="15.75" thickBot="1" x14ac:dyDescent="0.3">
      <c r="A22" s="122">
        <v>21</v>
      </c>
      <c r="B22" s="123"/>
      <c r="C22" s="124"/>
    </row>
    <row r="23" spans="1:3" ht="15.75" thickBot="1" x14ac:dyDescent="0.3">
      <c r="A23" s="122">
        <v>22</v>
      </c>
      <c r="B23" s="123"/>
      <c r="C23" s="124"/>
    </row>
    <row r="24" spans="1:3" ht="15.75" thickBot="1" x14ac:dyDescent="0.3">
      <c r="A24" s="122">
        <v>23</v>
      </c>
      <c r="B24" s="123"/>
      <c r="C24" s="124"/>
    </row>
    <row r="25" spans="1:3" ht="15.75" thickBot="1" x14ac:dyDescent="0.3">
      <c r="A25" s="122">
        <v>24</v>
      </c>
      <c r="B25" s="123"/>
      <c r="C25" s="124"/>
    </row>
    <row r="26" spans="1:3" ht="15.75" thickBot="1" x14ac:dyDescent="0.3">
      <c r="A26" s="122">
        <v>25</v>
      </c>
      <c r="B26" s="123"/>
      <c r="C26" s="124"/>
    </row>
    <row r="27" spans="1:3" ht="15.75" thickBot="1" x14ac:dyDescent="0.3">
      <c r="A27" s="122">
        <v>26</v>
      </c>
      <c r="B27" s="123"/>
      <c r="C27" s="124"/>
    </row>
    <row r="28" spans="1:3" ht="15.75" thickBot="1" x14ac:dyDescent="0.3">
      <c r="A28" s="122">
        <v>27</v>
      </c>
      <c r="B28" s="123"/>
      <c r="C28" s="124"/>
    </row>
    <row r="29" spans="1:3" ht="15.75" thickBot="1" x14ac:dyDescent="0.3">
      <c r="A29" s="122">
        <v>28</v>
      </c>
      <c r="B29" s="123"/>
      <c r="C29" s="124"/>
    </row>
    <row r="30" spans="1:3" ht="15.75" thickBot="1" x14ac:dyDescent="0.3">
      <c r="A30" s="122">
        <v>29</v>
      </c>
      <c r="B30" s="123"/>
      <c r="C30" s="124"/>
    </row>
    <row r="31" spans="1:3" ht="15.75" thickBot="1" x14ac:dyDescent="0.3">
      <c r="A31" s="122">
        <v>30</v>
      </c>
      <c r="B31" s="123"/>
      <c r="C31" s="124"/>
    </row>
    <row r="32" spans="1:3" ht="15.75" thickBot="1" x14ac:dyDescent="0.3">
      <c r="A32" s="122">
        <v>31</v>
      </c>
      <c r="B32" s="123"/>
      <c r="C32" s="124"/>
    </row>
    <row r="33" spans="1:3" ht="15.75" thickBot="1" x14ac:dyDescent="0.3">
      <c r="A33" s="122">
        <v>32</v>
      </c>
      <c r="B33" s="123"/>
      <c r="C33" s="124"/>
    </row>
    <row r="34" spans="1:3" ht="15.75" thickBot="1" x14ac:dyDescent="0.3">
      <c r="A34" s="122">
        <v>33</v>
      </c>
      <c r="B34" s="123"/>
      <c r="C34" s="124"/>
    </row>
    <row r="35" spans="1:3" ht="15.75" thickBot="1" x14ac:dyDescent="0.3">
      <c r="A35" s="122">
        <v>34</v>
      </c>
      <c r="B35" s="123"/>
      <c r="C35" s="124"/>
    </row>
    <row r="36" spans="1:3" ht="15.75" thickBot="1" x14ac:dyDescent="0.3">
      <c r="A36" s="122">
        <v>35</v>
      </c>
      <c r="B36" s="123"/>
      <c r="C36" s="124"/>
    </row>
    <row r="37" spans="1:3" ht="15.75" thickBot="1" x14ac:dyDescent="0.3">
      <c r="A37" s="122">
        <v>36</v>
      </c>
      <c r="B37" s="123"/>
      <c r="C37" s="124"/>
    </row>
    <row r="38" spans="1:3" ht="15.75" thickBot="1" x14ac:dyDescent="0.3">
      <c r="A38" s="122">
        <v>37</v>
      </c>
      <c r="B38" s="123"/>
      <c r="C38" s="124"/>
    </row>
    <row r="39" spans="1:3" ht="15.75" thickBot="1" x14ac:dyDescent="0.3">
      <c r="A39" s="122">
        <v>38</v>
      </c>
      <c r="B39" s="123"/>
      <c r="C39" s="124"/>
    </row>
    <row r="40" spans="1:3" ht="15.75" thickBot="1" x14ac:dyDescent="0.3">
      <c r="A40" s="122">
        <v>39</v>
      </c>
      <c r="B40" s="123"/>
      <c r="C40" s="124"/>
    </row>
    <row r="41" spans="1:3" ht="15.75" thickBot="1" x14ac:dyDescent="0.3">
      <c r="A41" s="122">
        <v>40</v>
      </c>
      <c r="B41" s="123"/>
      <c r="C41" s="124"/>
    </row>
  </sheetData>
  <sortState xmlns:xlrd2="http://schemas.microsoft.com/office/spreadsheetml/2017/richdata2" ref="B2:C12">
    <sortCondition ref="B2:B12"/>
  </sortState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C000"/>
    <pageSetUpPr fitToPage="1"/>
  </sheetPr>
  <dimension ref="A1:X81"/>
  <sheetViews>
    <sheetView zoomScale="80" zoomScaleNormal="80" workbookViewId="0">
      <pane xSplit="1" topLeftCell="B1" activePane="topRight" state="frozen"/>
      <selection pane="topRight" activeCell="C46" sqref="C46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9.140625" style="97" customWidth="1"/>
    <col min="4" max="6" width="9.140625" style="97"/>
    <col min="7" max="9" width="9.140625" style="97" customWidth="1"/>
    <col min="10" max="10" width="9" style="97" customWidth="1"/>
    <col min="11" max="11" width="8.42578125" style="97" customWidth="1"/>
    <col min="12" max="12" width="9.140625" style="97" customWidth="1"/>
    <col min="13" max="13" width="10.7109375" style="97" hidden="1" customWidth="1"/>
    <col min="14" max="14" width="9.7109375" style="97" hidden="1" customWidth="1"/>
    <col min="15" max="22" width="9.140625" style="97" hidden="1" customWidth="1"/>
    <col min="23" max="23" width="17.85546875" style="97" customWidth="1"/>
    <col min="24" max="24" width="18.28515625" style="97" customWidth="1"/>
    <col min="25" max="16384" width="9.140625" style="97"/>
  </cols>
  <sheetData>
    <row r="1" spans="1:24" x14ac:dyDescent="0.25">
      <c r="A1" s="538" t="s">
        <v>258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 spans="1:24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 spans="1:24" x14ac:dyDescent="0.25">
      <c r="B3" s="129" t="s">
        <v>12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5" t="s">
        <v>39</v>
      </c>
      <c r="X3" s="135" t="s">
        <v>257</v>
      </c>
    </row>
    <row r="4" spans="1:24" x14ac:dyDescent="0.25">
      <c r="A4" s="119" t="s">
        <v>1</v>
      </c>
      <c r="B4" s="119" t="s">
        <v>0</v>
      </c>
      <c r="C4" s="131" t="s">
        <v>2</v>
      </c>
      <c r="D4" s="131" t="s">
        <v>3</v>
      </c>
      <c r="E4" s="131" t="s">
        <v>4</v>
      </c>
      <c r="F4" s="131" t="s">
        <v>5</v>
      </c>
      <c r="G4" s="131" t="s">
        <v>6</v>
      </c>
      <c r="H4" s="131" t="s">
        <v>7</v>
      </c>
      <c r="I4" s="131" t="s">
        <v>8</v>
      </c>
      <c r="J4" s="131" t="s">
        <v>9</v>
      </c>
      <c r="K4" s="131" t="s">
        <v>10</v>
      </c>
      <c r="L4" s="131" t="s">
        <v>11</v>
      </c>
      <c r="M4" s="131" t="s">
        <v>117</v>
      </c>
      <c r="N4" s="131" t="s">
        <v>71</v>
      </c>
      <c r="O4" s="131" t="s">
        <v>72</v>
      </c>
      <c r="P4" s="131" t="s">
        <v>73</v>
      </c>
      <c r="Q4" s="131" t="s">
        <v>74</v>
      </c>
      <c r="R4" s="131" t="s">
        <v>75</v>
      </c>
      <c r="S4" s="131" t="s">
        <v>76</v>
      </c>
      <c r="T4" s="131" t="s">
        <v>77</v>
      </c>
      <c r="U4" s="131" t="s">
        <v>78</v>
      </c>
      <c r="V4" s="131" t="s">
        <v>79</v>
      </c>
      <c r="W4" s="131">
        <f>SUM(C3:V3)</f>
        <v>1</v>
      </c>
      <c r="X4" s="131">
        <v>0</v>
      </c>
    </row>
    <row r="5" spans="1:24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9">
        <f t="shared" ref="W5:W44" si="0">SUM(C5:V5)</f>
        <v>0</v>
      </c>
      <c r="X5" s="136">
        <f>W5*X$4/W$4</f>
        <v>0</v>
      </c>
    </row>
    <row r="6" spans="1:24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9">
        <f t="shared" si="0"/>
        <v>0</v>
      </c>
      <c r="X6" s="136">
        <f t="shared" ref="X6:X44" si="1">W6*X$4/W$4</f>
        <v>0</v>
      </c>
    </row>
    <row r="7" spans="1:24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9">
        <f t="shared" si="0"/>
        <v>0</v>
      </c>
      <c r="X7" s="136">
        <f t="shared" si="1"/>
        <v>0</v>
      </c>
    </row>
    <row r="8" spans="1:24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9">
        <f t="shared" si="0"/>
        <v>0</v>
      </c>
      <c r="X8" s="136">
        <f t="shared" si="1"/>
        <v>0</v>
      </c>
    </row>
    <row r="9" spans="1:24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9">
        <f t="shared" si="0"/>
        <v>0</v>
      </c>
      <c r="X9" s="136">
        <f t="shared" si="1"/>
        <v>0</v>
      </c>
    </row>
    <row r="10" spans="1:24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9">
        <f t="shared" si="0"/>
        <v>0</v>
      </c>
      <c r="X10" s="136">
        <f t="shared" si="1"/>
        <v>0</v>
      </c>
    </row>
    <row r="11" spans="1:24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9">
        <f t="shared" si="0"/>
        <v>0</v>
      </c>
      <c r="X11" s="136">
        <f t="shared" si="1"/>
        <v>0</v>
      </c>
    </row>
    <row r="12" spans="1:24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9">
        <f t="shared" si="0"/>
        <v>0</v>
      </c>
      <c r="X12" s="136">
        <f t="shared" si="1"/>
        <v>0</v>
      </c>
    </row>
    <row r="13" spans="1:24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9">
        <f t="shared" si="0"/>
        <v>0</v>
      </c>
      <c r="X13" s="136">
        <f t="shared" si="1"/>
        <v>0</v>
      </c>
    </row>
    <row r="14" spans="1:24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9">
        <f t="shared" si="0"/>
        <v>0</v>
      </c>
      <c r="X14" s="136">
        <f t="shared" si="1"/>
        <v>0</v>
      </c>
    </row>
    <row r="15" spans="1:24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9">
        <f t="shared" si="0"/>
        <v>0</v>
      </c>
      <c r="X15" s="136">
        <f t="shared" si="1"/>
        <v>0</v>
      </c>
    </row>
    <row r="16" spans="1:24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9">
        <f t="shared" si="0"/>
        <v>0</v>
      </c>
      <c r="X16" s="136">
        <f t="shared" si="1"/>
        <v>0</v>
      </c>
    </row>
    <row r="17" spans="1:24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9">
        <f t="shared" si="0"/>
        <v>0</v>
      </c>
      <c r="X17" s="136">
        <f t="shared" si="1"/>
        <v>0</v>
      </c>
    </row>
    <row r="18" spans="1:24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9">
        <f t="shared" si="0"/>
        <v>0</v>
      </c>
      <c r="X18" s="136">
        <f t="shared" si="1"/>
        <v>0</v>
      </c>
    </row>
    <row r="19" spans="1:24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9">
        <f t="shared" si="0"/>
        <v>0</v>
      </c>
      <c r="X19" s="136">
        <f t="shared" si="1"/>
        <v>0</v>
      </c>
    </row>
    <row r="20" spans="1:24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9">
        <f t="shared" si="0"/>
        <v>0</v>
      </c>
      <c r="X20" s="136">
        <f t="shared" si="1"/>
        <v>0</v>
      </c>
    </row>
    <row r="21" spans="1:24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9">
        <f t="shared" si="0"/>
        <v>0</v>
      </c>
      <c r="X21" s="136">
        <f t="shared" si="1"/>
        <v>0</v>
      </c>
    </row>
    <row r="22" spans="1:24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9">
        <f t="shared" si="0"/>
        <v>0</v>
      </c>
      <c r="X22" s="136">
        <f t="shared" si="1"/>
        <v>0</v>
      </c>
    </row>
    <row r="23" spans="1:24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3"/>
      <c r="H23" s="132"/>
      <c r="I23" s="132"/>
      <c r="J23" s="132"/>
      <c r="K23" s="132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9">
        <f t="shared" si="0"/>
        <v>0</v>
      </c>
      <c r="X23" s="136">
        <f t="shared" si="1"/>
        <v>0</v>
      </c>
    </row>
    <row r="24" spans="1:24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9">
        <f t="shared" si="0"/>
        <v>0</v>
      </c>
      <c r="X24" s="136">
        <f t="shared" si="1"/>
        <v>0</v>
      </c>
    </row>
    <row r="25" spans="1:24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9">
        <f t="shared" si="0"/>
        <v>0</v>
      </c>
      <c r="X25" s="136">
        <f t="shared" si="1"/>
        <v>0</v>
      </c>
    </row>
    <row r="26" spans="1:24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9">
        <f t="shared" si="0"/>
        <v>0</v>
      </c>
      <c r="X26" s="136">
        <f t="shared" si="1"/>
        <v>0</v>
      </c>
    </row>
    <row r="27" spans="1:24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9">
        <f t="shared" si="0"/>
        <v>0</v>
      </c>
      <c r="X27" s="136">
        <f t="shared" si="1"/>
        <v>0</v>
      </c>
    </row>
    <row r="28" spans="1:24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9">
        <f t="shared" si="0"/>
        <v>0</v>
      </c>
      <c r="X28" s="136">
        <f t="shared" si="1"/>
        <v>0</v>
      </c>
    </row>
    <row r="29" spans="1:24" ht="13.5" customHeight="1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9">
        <f t="shared" si="0"/>
        <v>0</v>
      </c>
      <c r="X29" s="136">
        <f t="shared" si="1"/>
        <v>0</v>
      </c>
    </row>
    <row r="30" spans="1:24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9">
        <f t="shared" si="0"/>
        <v>0</v>
      </c>
      <c r="X30" s="136">
        <f t="shared" si="1"/>
        <v>0</v>
      </c>
    </row>
    <row r="31" spans="1:24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9">
        <f t="shared" si="0"/>
        <v>0</v>
      </c>
      <c r="X31" s="136">
        <f t="shared" si="1"/>
        <v>0</v>
      </c>
    </row>
    <row r="32" spans="1:24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9">
        <f t="shared" si="0"/>
        <v>0</v>
      </c>
      <c r="X32" s="136">
        <f t="shared" si="1"/>
        <v>0</v>
      </c>
    </row>
    <row r="33" spans="1:24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9">
        <f t="shared" si="0"/>
        <v>0</v>
      </c>
      <c r="X33" s="136">
        <f t="shared" si="1"/>
        <v>0</v>
      </c>
    </row>
    <row r="34" spans="1:24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9">
        <f t="shared" si="0"/>
        <v>0</v>
      </c>
      <c r="X34" s="136">
        <f t="shared" si="1"/>
        <v>0</v>
      </c>
    </row>
    <row r="35" spans="1:24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9">
        <f t="shared" si="0"/>
        <v>0</v>
      </c>
      <c r="X35" s="136">
        <f t="shared" si="1"/>
        <v>0</v>
      </c>
    </row>
    <row r="36" spans="1:24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9">
        <f t="shared" si="0"/>
        <v>0</v>
      </c>
      <c r="X36" s="136">
        <f t="shared" si="1"/>
        <v>0</v>
      </c>
    </row>
    <row r="37" spans="1:24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9">
        <f t="shared" si="0"/>
        <v>0</v>
      </c>
      <c r="X37" s="136">
        <f t="shared" si="1"/>
        <v>0</v>
      </c>
    </row>
    <row r="38" spans="1:24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9">
        <f t="shared" si="0"/>
        <v>0</v>
      </c>
      <c r="X38" s="136">
        <f t="shared" si="1"/>
        <v>0</v>
      </c>
    </row>
    <row r="39" spans="1:24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9">
        <f t="shared" si="0"/>
        <v>0</v>
      </c>
      <c r="X39" s="136">
        <f t="shared" si="1"/>
        <v>0</v>
      </c>
    </row>
    <row r="40" spans="1:24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9">
        <f t="shared" si="0"/>
        <v>0</v>
      </c>
      <c r="X40" s="136">
        <f t="shared" si="1"/>
        <v>0</v>
      </c>
    </row>
    <row r="41" spans="1:24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9">
        <f t="shared" si="0"/>
        <v>0</v>
      </c>
      <c r="X41" s="136">
        <f t="shared" si="1"/>
        <v>0</v>
      </c>
    </row>
    <row r="42" spans="1:24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9">
        <f t="shared" si="0"/>
        <v>0</v>
      </c>
      <c r="X42" s="136">
        <f t="shared" si="1"/>
        <v>0</v>
      </c>
    </row>
    <row r="43" spans="1:24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9">
        <f t="shared" si="0"/>
        <v>0</v>
      </c>
      <c r="X43" s="136">
        <f t="shared" si="1"/>
        <v>0</v>
      </c>
    </row>
    <row r="44" spans="1:24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9">
        <f t="shared" si="0"/>
        <v>0</v>
      </c>
      <c r="X44" s="136">
        <f t="shared" si="1"/>
        <v>0</v>
      </c>
    </row>
    <row r="45" spans="1:24" x14ac:dyDescent="0.25">
      <c r="B45" s="128" t="s">
        <v>37</v>
      </c>
      <c r="C45" s="5" t="str">
        <f>IF(COUNTBLANK(C5:C44)=40," ",AVERAGE(C5:C44))</f>
        <v xml:space="preserve"> </v>
      </c>
      <c r="D45" s="5" t="str">
        <f t="shared" ref="D45:V45" si="2">IF(COUNTBLANK(D5:D44)=40," ",AVERAGE(D5:D44))</f>
        <v xml:space="preserve"> </v>
      </c>
      <c r="E45" s="5" t="str">
        <f t="shared" si="2"/>
        <v xml:space="preserve"> </v>
      </c>
      <c r="F45" s="5" t="str">
        <f t="shared" si="2"/>
        <v xml:space="preserve"> </v>
      </c>
      <c r="G45" s="5" t="str">
        <f t="shared" si="2"/>
        <v xml:space="preserve"> </v>
      </c>
      <c r="H45" s="5" t="str">
        <f t="shared" si="2"/>
        <v xml:space="preserve"> </v>
      </c>
      <c r="I45" s="5" t="str">
        <f t="shared" si="2"/>
        <v xml:space="preserve"> </v>
      </c>
      <c r="J45" s="5" t="str">
        <f t="shared" si="2"/>
        <v xml:space="preserve"> </v>
      </c>
      <c r="K45" s="5" t="str">
        <f t="shared" si="2"/>
        <v xml:space="preserve"> </v>
      </c>
      <c r="L45" s="5" t="str">
        <f t="shared" si="2"/>
        <v xml:space="preserve"> </v>
      </c>
      <c r="M45" s="5" t="str">
        <f t="shared" si="2"/>
        <v xml:space="preserve"> </v>
      </c>
      <c r="N45" s="5" t="str">
        <f t="shared" si="2"/>
        <v xml:space="preserve"> </v>
      </c>
      <c r="O45" s="5" t="str">
        <f t="shared" si="2"/>
        <v xml:space="preserve"> </v>
      </c>
      <c r="P45" s="5" t="str">
        <f t="shared" si="2"/>
        <v xml:space="preserve"> </v>
      </c>
      <c r="Q45" s="5" t="str">
        <f t="shared" si="2"/>
        <v xml:space="preserve"> </v>
      </c>
      <c r="R45" s="5" t="str">
        <f t="shared" si="2"/>
        <v xml:space="preserve"> </v>
      </c>
      <c r="S45" s="5" t="str">
        <f t="shared" si="2"/>
        <v xml:space="preserve"> </v>
      </c>
      <c r="T45" s="5" t="str">
        <f t="shared" si="2"/>
        <v xml:space="preserve"> </v>
      </c>
      <c r="U45" s="5" t="str">
        <f t="shared" si="2"/>
        <v xml:space="preserve"> </v>
      </c>
      <c r="V45" s="5" t="str">
        <f t="shared" si="2"/>
        <v xml:space="preserve"> </v>
      </c>
      <c r="W45" s="137">
        <f>IF(COUNTBLANK(W5:W43)=20,"  ",AVERAGE(W5:W44))</f>
        <v>0</v>
      </c>
      <c r="X45" s="137">
        <f>IF(COUNTBLANK(X5:X43)=20," ",AVERAGE(X5:X44))</f>
        <v>0</v>
      </c>
    </row>
    <row r="46" spans="1:24" x14ac:dyDescent="0.25">
      <c r="B46" s="128" t="s">
        <v>42</v>
      </c>
      <c r="C46" s="184" t="str">
        <f>IF(C45="","",IF(ISERROR(ROUND(C45*10/C3,1))," ",(ROUND(C45*10/C3,1))))</f>
        <v xml:space="preserve"> </v>
      </c>
      <c r="D46" s="184" t="str">
        <f t="shared" ref="D46:V46" si="3">IF(D45="","",IF(ISERROR(ROUND(D45*10/D3,1))," ",(ROUND(D45*10/D3,1))))</f>
        <v xml:space="preserve"> </v>
      </c>
      <c r="E46" s="184" t="str">
        <f t="shared" si="3"/>
        <v xml:space="preserve"> </v>
      </c>
      <c r="F46" s="5" t="str">
        <f t="shared" si="3"/>
        <v xml:space="preserve"> </v>
      </c>
      <c r="G46" s="5" t="str">
        <f t="shared" si="3"/>
        <v xml:space="preserve"> </v>
      </c>
      <c r="H46" s="5" t="str">
        <f t="shared" si="3"/>
        <v xml:space="preserve"> </v>
      </c>
      <c r="I46" s="5" t="str">
        <f t="shared" si="3"/>
        <v xml:space="preserve"> </v>
      </c>
      <c r="J46" s="5" t="str">
        <f t="shared" si="3"/>
        <v xml:space="preserve"> </v>
      </c>
      <c r="K46" s="5" t="str">
        <f t="shared" si="3"/>
        <v xml:space="preserve"> </v>
      </c>
      <c r="L46" s="5" t="str">
        <f t="shared" si="3"/>
        <v xml:space="preserve"> </v>
      </c>
      <c r="M46" s="131" t="str">
        <f t="shared" si="3"/>
        <v xml:space="preserve"> </v>
      </c>
      <c r="N46" s="131" t="str">
        <f t="shared" si="3"/>
        <v xml:space="preserve"> </v>
      </c>
      <c r="O46" s="131" t="str">
        <f t="shared" si="3"/>
        <v xml:space="preserve"> </v>
      </c>
      <c r="P46" s="131" t="str">
        <f t="shared" si="3"/>
        <v xml:space="preserve"> </v>
      </c>
      <c r="Q46" s="131" t="str">
        <f t="shared" si="3"/>
        <v xml:space="preserve"> </v>
      </c>
      <c r="R46" s="131" t="str">
        <f t="shared" si="3"/>
        <v xml:space="preserve"> </v>
      </c>
      <c r="S46" s="131" t="str">
        <f t="shared" si="3"/>
        <v xml:space="preserve"> </v>
      </c>
      <c r="T46" s="131" t="str">
        <f t="shared" si="3"/>
        <v xml:space="preserve"> </v>
      </c>
      <c r="U46" s="131" t="str">
        <f t="shared" si="3"/>
        <v xml:space="preserve"> </v>
      </c>
      <c r="V46" s="131" t="str">
        <f t="shared" si="3"/>
        <v xml:space="preserve"> </v>
      </c>
      <c r="W46" s="5">
        <f>IF(W45="","",IF(ISERROR(ROUND(W45*10/W4,1))," ",(ROUND(W45*10/W4,1))))</f>
        <v>0</v>
      </c>
      <c r="X46" s="5" t="str">
        <f>IF(X45="","",IF(ISERROR(ROUND(X45*10/X4,1))," ",(ROUND(X45*10/X4,1))))</f>
        <v xml:space="preserve"> </v>
      </c>
    </row>
    <row r="47" spans="1:24" x14ac:dyDescent="0.25">
      <c r="B47" s="128" t="s">
        <v>377</v>
      </c>
      <c r="C47" s="184">
        <f>COUNTIF(C5:C44,"&gt;="&amp;(0.7*C3))</f>
        <v>0</v>
      </c>
      <c r="D47" s="184">
        <f t="shared" ref="D47:L47" si="4">COUNTIF(D5:D44,"&gt;="&amp;(0.7*D3))</f>
        <v>0</v>
      </c>
      <c r="E47" s="184">
        <f t="shared" si="4"/>
        <v>0</v>
      </c>
      <c r="F47" s="184">
        <f t="shared" si="4"/>
        <v>0</v>
      </c>
      <c r="G47" s="184">
        <f t="shared" si="4"/>
        <v>0</v>
      </c>
      <c r="H47" s="184">
        <f t="shared" si="4"/>
        <v>0</v>
      </c>
      <c r="I47" s="184">
        <f t="shared" si="4"/>
        <v>0</v>
      </c>
      <c r="J47" s="184">
        <f t="shared" si="4"/>
        <v>0</v>
      </c>
      <c r="K47" s="184">
        <f t="shared" si="4"/>
        <v>0</v>
      </c>
      <c r="L47" s="184">
        <f t="shared" si="4"/>
        <v>0</v>
      </c>
      <c r="M47" s="184">
        <f t="shared" ref="M47:V47" si="5">COUNTIF(M5:M44,"&gt;"&amp;(0.75*M3))</f>
        <v>0</v>
      </c>
      <c r="N47" s="184">
        <f t="shared" si="5"/>
        <v>0</v>
      </c>
      <c r="O47" s="184">
        <f t="shared" si="5"/>
        <v>0</v>
      </c>
      <c r="P47" s="184">
        <f t="shared" si="5"/>
        <v>0</v>
      </c>
      <c r="Q47" s="184">
        <f t="shared" si="5"/>
        <v>0</v>
      </c>
      <c r="R47" s="184">
        <f t="shared" si="5"/>
        <v>0</v>
      </c>
      <c r="S47" s="184">
        <f t="shared" si="5"/>
        <v>0</v>
      </c>
      <c r="T47" s="184">
        <f t="shared" si="5"/>
        <v>0</v>
      </c>
      <c r="U47" s="184">
        <f t="shared" si="5"/>
        <v>0</v>
      </c>
      <c r="V47" s="184">
        <f t="shared" si="5"/>
        <v>0</v>
      </c>
    </row>
    <row r="48" spans="1:24" ht="15.75" thickBot="1" x14ac:dyDescent="0.3"/>
    <row r="49" spans="1:24" ht="15.75" thickBot="1" x14ac:dyDescent="0.3">
      <c r="C49" s="347" t="str">
        <f>C4</f>
        <v>HW1</v>
      </c>
      <c r="D49" s="348" t="str">
        <f t="shared" ref="D49:L49" si="6">D4</f>
        <v>HW2</v>
      </c>
      <c r="E49" s="348" t="str">
        <f t="shared" si="6"/>
        <v>HW3</v>
      </c>
      <c r="F49" s="348" t="str">
        <f t="shared" si="6"/>
        <v>HW4</v>
      </c>
      <c r="G49" s="348" t="str">
        <f t="shared" si="6"/>
        <v>HW5</v>
      </c>
      <c r="H49" s="348" t="str">
        <f t="shared" si="6"/>
        <v>HW6</v>
      </c>
      <c r="I49" s="348" t="str">
        <f t="shared" si="6"/>
        <v>HW7</v>
      </c>
      <c r="J49" s="348" t="str">
        <f t="shared" si="6"/>
        <v>HW8</v>
      </c>
      <c r="K49" s="348" t="str">
        <f t="shared" si="6"/>
        <v>HW9</v>
      </c>
      <c r="L49" s="349" t="str">
        <f t="shared" si="6"/>
        <v>HW10</v>
      </c>
    </row>
    <row r="50" spans="1:24" ht="41.45" customHeight="1" thickBot="1" x14ac:dyDescent="0.3">
      <c r="A50" s="574"/>
      <c r="B50" s="539" t="s">
        <v>420</v>
      </c>
      <c r="C50" s="546" t="s">
        <v>410</v>
      </c>
      <c r="D50" s="547"/>
      <c r="E50" s="547"/>
      <c r="F50" s="547"/>
      <c r="G50" s="547"/>
      <c r="H50" s="547"/>
      <c r="I50" s="547"/>
      <c r="J50" s="547"/>
      <c r="K50" s="547"/>
      <c r="L50" s="548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556" t="s">
        <v>412</v>
      </c>
      <c r="X50" s="558" t="s">
        <v>417</v>
      </c>
    </row>
    <row r="51" spans="1:24" hidden="1" x14ac:dyDescent="0.25">
      <c r="A51" s="574"/>
      <c r="B51" s="540"/>
      <c r="C51" s="549" t="s">
        <v>411</v>
      </c>
      <c r="D51" s="550"/>
      <c r="E51" s="550"/>
      <c r="F51" s="550"/>
      <c r="G51" s="550"/>
      <c r="H51" s="550"/>
      <c r="I51" s="550"/>
      <c r="J51" s="550"/>
      <c r="K51" s="550"/>
      <c r="L51" s="551"/>
      <c r="W51" s="557"/>
      <c r="X51" s="559"/>
    </row>
    <row r="52" spans="1:24" x14ac:dyDescent="0.25">
      <c r="A52" s="574"/>
      <c r="B52" s="541" t="s">
        <v>383</v>
      </c>
      <c r="C52" s="369"/>
      <c r="D52" s="369"/>
      <c r="E52" s="369"/>
      <c r="F52" s="369"/>
      <c r="G52" s="369"/>
      <c r="H52" s="369"/>
      <c r="I52" s="369"/>
      <c r="J52" s="369"/>
      <c r="K52" s="369"/>
      <c r="L52" s="369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560" t="str">
        <f>IF(X52=0,"",SUM(C53:L53))</f>
        <v/>
      </c>
      <c r="X52" s="562">
        <f>COUNT(C53:L53)</f>
        <v>0</v>
      </c>
    </row>
    <row r="53" spans="1:24" hidden="1" x14ac:dyDescent="0.25">
      <c r="A53" s="574"/>
      <c r="B53" s="542"/>
      <c r="C53" s="370" t="str">
        <f>IF(C52="x",C$47,"")</f>
        <v/>
      </c>
      <c r="D53" s="370" t="str">
        <f t="shared" ref="D53:L53" si="7">IF(D52="x",D$47,"")</f>
        <v/>
      </c>
      <c r="E53" s="370" t="str">
        <f t="shared" si="7"/>
        <v/>
      </c>
      <c r="F53" s="370" t="str">
        <f t="shared" si="7"/>
        <v/>
      </c>
      <c r="G53" s="370" t="str">
        <f t="shared" si="7"/>
        <v/>
      </c>
      <c r="H53" s="370" t="str">
        <f t="shared" si="7"/>
        <v/>
      </c>
      <c r="I53" s="370" t="str">
        <f t="shared" si="7"/>
        <v/>
      </c>
      <c r="J53" s="370" t="str">
        <f t="shared" si="7"/>
        <v/>
      </c>
      <c r="K53" s="370" t="str">
        <f t="shared" si="7"/>
        <v/>
      </c>
      <c r="L53" s="370" t="str">
        <f t="shared" si="7"/>
        <v/>
      </c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561"/>
      <c r="X53" s="563"/>
    </row>
    <row r="54" spans="1:24" x14ac:dyDescent="0.25">
      <c r="A54" s="574"/>
      <c r="B54" s="542" t="s">
        <v>385</v>
      </c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65"/>
      <c r="N54" s="365"/>
      <c r="O54" s="365"/>
      <c r="P54" s="365"/>
      <c r="Q54" s="365"/>
      <c r="R54" s="365"/>
      <c r="S54" s="365"/>
      <c r="T54" s="365"/>
      <c r="U54" s="365"/>
      <c r="V54" s="365"/>
      <c r="W54" s="561" t="str">
        <f t="shared" ref="W54" si="8">IF(X54=0,"",SUM(C55:L55))</f>
        <v/>
      </c>
      <c r="X54" s="563">
        <f>COUNT(C55:L55)</f>
        <v>0</v>
      </c>
    </row>
    <row r="55" spans="1:24" hidden="1" x14ac:dyDescent="0.25">
      <c r="A55" s="574"/>
      <c r="B55" s="542"/>
      <c r="C55" s="370" t="str">
        <f>IF(C54="x",C$47,"")</f>
        <v/>
      </c>
      <c r="D55" s="370" t="str">
        <f t="shared" ref="D55:L55" si="9">IF(D54="x",D$47,"")</f>
        <v/>
      </c>
      <c r="E55" s="370" t="str">
        <f t="shared" si="9"/>
        <v/>
      </c>
      <c r="F55" s="370" t="str">
        <f t="shared" si="9"/>
        <v/>
      </c>
      <c r="G55" s="370" t="str">
        <f t="shared" si="9"/>
        <v/>
      </c>
      <c r="H55" s="370" t="str">
        <f t="shared" si="9"/>
        <v/>
      </c>
      <c r="I55" s="370" t="str">
        <f t="shared" si="9"/>
        <v/>
      </c>
      <c r="J55" s="370" t="str">
        <f t="shared" si="9"/>
        <v/>
      </c>
      <c r="K55" s="370" t="str">
        <f t="shared" si="9"/>
        <v/>
      </c>
      <c r="L55" s="370" t="str">
        <f t="shared" si="9"/>
        <v/>
      </c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561"/>
      <c r="X55" s="563"/>
    </row>
    <row r="56" spans="1:24" x14ac:dyDescent="0.25">
      <c r="A56" s="574"/>
      <c r="B56" s="542" t="s">
        <v>388</v>
      </c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561" t="str">
        <f t="shared" ref="W56" si="10">IF(X56=0,"",SUM(C57:L57))</f>
        <v/>
      </c>
      <c r="X56" s="563">
        <f>COUNT(C57:L57)</f>
        <v>0</v>
      </c>
    </row>
    <row r="57" spans="1:24" hidden="1" x14ac:dyDescent="0.25">
      <c r="A57" s="574"/>
      <c r="B57" s="542"/>
      <c r="C57" s="370" t="str">
        <f>IF(C56="x",C$47,"")</f>
        <v/>
      </c>
      <c r="D57" s="370" t="str">
        <f t="shared" ref="D57:L57" si="11">IF(D56="x",D$47,"")</f>
        <v/>
      </c>
      <c r="E57" s="370" t="str">
        <f t="shared" si="11"/>
        <v/>
      </c>
      <c r="F57" s="370" t="str">
        <f t="shared" si="11"/>
        <v/>
      </c>
      <c r="G57" s="370" t="str">
        <f t="shared" si="11"/>
        <v/>
      </c>
      <c r="H57" s="370" t="str">
        <f t="shared" si="11"/>
        <v/>
      </c>
      <c r="I57" s="370" t="str">
        <f t="shared" si="11"/>
        <v/>
      </c>
      <c r="J57" s="370" t="str">
        <f t="shared" si="11"/>
        <v/>
      </c>
      <c r="K57" s="370" t="str">
        <f t="shared" si="11"/>
        <v/>
      </c>
      <c r="L57" s="370" t="str">
        <f t="shared" si="11"/>
        <v/>
      </c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561"/>
      <c r="X57" s="563"/>
    </row>
    <row r="58" spans="1:24" ht="15.75" thickBot="1" x14ac:dyDescent="0.3">
      <c r="A58" s="574"/>
      <c r="B58" s="542" t="s">
        <v>389</v>
      </c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561" t="str">
        <f t="shared" ref="W58" si="12">IF(X58=0,"",SUM(C59:L59))</f>
        <v/>
      </c>
      <c r="X58" s="563">
        <f>COUNT(C59:L59)</f>
        <v>0</v>
      </c>
    </row>
    <row r="59" spans="1:24" ht="15.75" hidden="1" thickBot="1" x14ac:dyDescent="0.3">
      <c r="A59" s="574"/>
      <c r="B59" s="552"/>
      <c r="C59" s="372" t="str">
        <f>IF(C58="x",C$47,"")</f>
        <v/>
      </c>
      <c r="D59" s="372" t="str">
        <f t="shared" ref="D59:L59" si="13">IF(D58="x",D$47,"")</f>
        <v/>
      </c>
      <c r="E59" s="372" t="str">
        <f t="shared" si="13"/>
        <v/>
      </c>
      <c r="F59" s="372" t="str">
        <f t="shared" si="13"/>
        <v/>
      </c>
      <c r="G59" s="372" t="str">
        <f t="shared" si="13"/>
        <v/>
      </c>
      <c r="H59" s="372" t="str">
        <f t="shared" si="13"/>
        <v/>
      </c>
      <c r="I59" s="372" t="str">
        <f t="shared" si="13"/>
        <v/>
      </c>
      <c r="J59" s="372" t="str">
        <f t="shared" si="13"/>
        <v/>
      </c>
      <c r="K59" s="372" t="str">
        <f t="shared" si="13"/>
        <v/>
      </c>
      <c r="L59" s="372" t="str">
        <f t="shared" si="13"/>
        <v/>
      </c>
      <c r="M59" s="368"/>
      <c r="N59" s="368"/>
      <c r="O59" s="368"/>
      <c r="P59" s="368"/>
      <c r="Q59" s="368"/>
      <c r="R59" s="368"/>
      <c r="S59" s="368"/>
      <c r="T59" s="368"/>
      <c r="U59" s="368"/>
      <c r="V59" s="368"/>
      <c r="W59" s="564"/>
      <c r="X59" s="565"/>
    </row>
    <row r="60" spans="1:24" x14ac:dyDescent="0.25">
      <c r="A60" s="574"/>
      <c r="B60" s="553" t="s">
        <v>391</v>
      </c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566" t="str">
        <f t="shared" ref="W60" si="14">IF(X60=0,"",SUM(C61:L61))</f>
        <v/>
      </c>
      <c r="X60" s="568">
        <f>COUNT(C61:L61)</f>
        <v>0</v>
      </c>
    </row>
    <row r="61" spans="1:24" hidden="1" x14ac:dyDescent="0.25">
      <c r="A61" s="574"/>
      <c r="B61" s="554"/>
      <c r="C61" s="370" t="str">
        <f>IF(C60="x",C$47,"")</f>
        <v/>
      </c>
      <c r="D61" s="370" t="str">
        <f t="shared" ref="D61:L61" si="15">IF(D60="x",D$47,"")</f>
        <v/>
      </c>
      <c r="E61" s="370" t="str">
        <f t="shared" si="15"/>
        <v/>
      </c>
      <c r="F61" s="370" t="str">
        <f t="shared" si="15"/>
        <v/>
      </c>
      <c r="G61" s="370" t="str">
        <f t="shared" si="15"/>
        <v/>
      </c>
      <c r="H61" s="370" t="str">
        <f t="shared" si="15"/>
        <v/>
      </c>
      <c r="I61" s="370" t="str">
        <f t="shared" si="15"/>
        <v/>
      </c>
      <c r="J61" s="370" t="str">
        <f t="shared" si="15"/>
        <v/>
      </c>
      <c r="K61" s="370" t="str">
        <f t="shared" si="15"/>
        <v/>
      </c>
      <c r="L61" s="370" t="str">
        <f t="shared" si="15"/>
        <v/>
      </c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567"/>
      <c r="X61" s="569"/>
    </row>
    <row r="62" spans="1:24" ht="15.75" thickBot="1" x14ac:dyDescent="0.3">
      <c r="A62" s="574"/>
      <c r="B62" s="554" t="s">
        <v>393</v>
      </c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567" t="str">
        <f t="shared" ref="W62" si="16">IF(X62=0,"",SUM(C63:L63))</f>
        <v/>
      </c>
      <c r="X62" s="569">
        <f>COUNT(C63:L63)</f>
        <v>0</v>
      </c>
    </row>
    <row r="63" spans="1:24" ht="15.75" hidden="1" thickBot="1" x14ac:dyDescent="0.3">
      <c r="A63" s="574"/>
      <c r="B63" s="555"/>
      <c r="C63" s="372" t="str">
        <f>IF(C62="x",C$47,"")</f>
        <v/>
      </c>
      <c r="D63" s="372" t="str">
        <f t="shared" ref="D63:L63" si="17">IF(D62="x",D$47,"")</f>
        <v/>
      </c>
      <c r="E63" s="372" t="str">
        <f t="shared" si="17"/>
        <v/>
      </c>
      <c r="F63" s="372" t="str">
        <f t="shared" si="17"/>
        <v/>
      </c>
      <c r="G63" s="372" t="str">
        <f t="shared" si="17"/>
        <v/>
      </c>
      <c r="H63" s="372" t="str">
        <f t="shared" si="17"/>
        <v/>
      </c>
      <c r="I63" s="372" t="str">
        <f t="shared" si="17"/>
        <v/>
      </c>
      <c r="J63" s="372" t="str">
        <f t="shared" si="17"/>
        <v/>
      </c>
      <c r="K63" s="372" t="str">
        <f t="shared" si="17"/>
        <v/>
      </c>
      <c r="L63" s="372" t="str">
        <f t="shared" si="17"/>
        <v/>
      </c>
      <c r="M63" s="368"/>
      <c r="N63" s="368"/>
      <c r="O63" s="368"/>
      <c r="P63" s="368"/>
      <c r="Q63" s="368"/>
      <c r="R63" s="368"/>
      <c r="S63" s="368"/>
      <c r="T63" s="368"/>
      <c r="U63" s="368"/>
      <c r="V63" s="368"/>
      <c r="W63" s="570"/>
      <c r="X63" s="571"/>
    </row>
    <row r="64" spans="1:24" x14ac:dyDescent="0.25">
      <c r="A64" s="574"/>
      <c r="B64" s="541" t="s">
        <v>394</v>
      </c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560" t="str">
        <f t="shared" ref="W64" si="18">IF(X64=0,"",SUM(C65:L65))</f>
        <v/>
      </c>
      <c r="X64" s="562">
        <f>COUNT(C65:L65)</f>
        <v>0</v>
      </c>
    </row>
    <row r="65" spans="1:24" hidden="1" x14ac:dyDescent="0.25">
      <c r="A65" s="574"/>
      <c r="B65" s="542"/>
      <c r="C65" s="370" t="str">
        <f>IF(C64="x",C$47,"")</f>
        <v/>
      </c>
      <c r="D65" s="370" t="str">
        <f t="shared" ref="D65:L65" si="19">IF(D64="x",D$47,"")</f>
        <v/>
      </c>
      <c r="E65" s="370" t="str">
        <f t="shared" si="19"/>
        <v/>
      </c>
      <c r="F65" s="370" t="str">
        <f t="shared" si="19"/>
        <v/>
      </c>
      <c r="G65" s="370" t="str">
        <f t="shared" si="19"/>
        <v/>
      </c>
      <c r="H65" s="370" t="str">
        <f t="shared" si="19"/>
        <v/>
      </c>
      <c r="I65" s="370" t="str">
        <f t="shared" si="19"/>
        <v/>
      </c>
      <c r="J65" s="370" t="str">
        <f t="shared" si="19"/>
        <v/>
      </c>
      <c r="K65" s="370" t="str">
        <f t="shared" si="19"/>
        <v/>
      </c>
      <c r="L65" s="370" t="str">
        <f t="shared" si="19"/>
        <v/>
      </c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561"/>
      <c r="X65" s="563"/>
    </row>
    <row r="66" spans="1:24" x14ac:dyDescent="0.25">
      <c r="A66" s="574"/>
      <c r="B66" s="542" t="s">
        <v>395</v>
      </c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561" t="str">
        <f t="shared" ref="W66" si="20">IF(X66=0,"",SUM(C67:L67))</f>
        <v/>
      </c>
      <c r="X66" s="563">
        <f>COUNT(C67:L67)</f>
        <v>0</v>
      </c>
    </row>
    <row r="67" spans="1:24" hidden="1" x14ac:dyDescent="0.25">
      <c r="A67" s="574"/>
      <c r="B67" s="542"/>
      <c r="C67" s="370" t="str">
        <f>IF(C66="x",C$47,"")</f>
        <v/>
      </c>
      <c r="D67" s="370" t="str">
        <f t="shared" ref="D67:L67" si="21">IF(D66="x",D$47,"")</f>
        <v/>
      </c>
      <c r="E67" s="370" t="str">
        <f t="shared" si="21"/>
        <v/>
      </c>
      <c r="F67" s="370" t="str">
        <f t="shared" si="21"/>
        <v/>
      </c>
      <c r="G67" s="370" t="str">
        <f t="shared" si="21"/>
        <v/>
      </c>
      <c r="H67" s="370" t="str">
        <f t="shared" si="21"/>
        <v/>
      </c>
      <c r="I67" s="370" t="str">
        <f t="shared" si="21"/>
        <v/>
      </c>
      <c r="J67" s="370" t="str">
        <f t="shared" si="21"/>
        <v/>
      </c>
      <c r="K67" s="370" t="str">
        <f t="shared" si="21"/>
        <v/>
      </c>
      <c r="L67" s="370" t="str">
        <f t="shared" si="21"/>
        <v/>
      </c>
      <c r="M67" s="365"/>
      <c r="N67" s="365"/>
      <c r="O67" s="365"/>
      <c r="P67" s="365"/>
      <c r="Q67" s="365"/>
      <c r="R67" s="365"/>
      <c r="S67" s="365"/>
      <c r="T67" s="365"/>
      <c r="U67" s="365"/>
      <c r="V67" s="365"/>
      <c r="W67" s="561"/>
      <c r="X67" s="563"/>
    </row>
    <row r="68" spans="1:24" ht="15.75" thickBot="1" x14ac:dyDescent="0.3">
      <c r="A68" s="574"/>
      <c r="B68" s="542" t="s">
        <v>396</v>
      </c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65"/>
      <c r="N68" s="365"/>
      <c r="O68" s="365"/>
      <c r="P68" s="365"/>
      <c r="Q68" s="365"/>
      <c r="R68" s="365"/>
      <c r="S68" s="365"/>
      <c r="T68" s="365"/>
      <c r="U68" s="365"/>
      <c r="V68" s="365"/>
      <c r="W68" s="561" t="str">
        <f t="shared" ref="W68" si="22">IF(X68=0,"",SUM(C69:L69))</f>
        <v/>
      </c>
      <c r="X68" s="563">
        <f>COUNT(C69:L69)</f>
        <v>0</v>
      </c>
    </row>
    <row r="69" spans="1:24" ht="15.75" hidden="1" thickBot="1" x14ac:dyDescent="0.3">
      <c r="A69" s="574"/>
      <c r="B69" s="552"/>
      <c r="C69" s="372" t="str">
        <f>IF(C68="x",C$47,"")</f>
        <v/>
      </c>
      <c r="D69" s="372" t="str">
        <f t="shared" ref="D69:L69" si="23">IF(D68="x",D$47,"")</f>
        <v/>
      </c>
      <c r="E69" s="372" t="str">
        <f t="shared" si="23"/>
        <v/>
      </c>
      <c r="F69" s="372" t="str">
        <f t="shared" si="23"/>
        <v/>
      </c>
      <c r="G69" s="372" t="str">
        <f t="shared" si="23"/>
        <v/>
      </c>
      <c r="H69" s="372" t="str">
        <f t="shared" si="23"/>
        <v/>
      </c>
      <c r="I69" s="372" t="str">
        <f t="shared" si="23"/>
        <v/>
      </c>
      <c r="J69" s="372" t="str">
        <f t="shared" si="23"/>
        <v/>
      </c>
      <c r="K69" s="372" t="str">
        <f t="shared" si="23"/>
        <v/>
      </c>
      <c r="L69" s="372" t="str">
        <f t="shared" si="23"/>
        <v/>
      </c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564"/>
      <c r="X69" s="565"/>
    </row>
    <row r="70" spans="1:24" x14ac:dyDescent="0.25">
      <c r="A70" s="574"/>
      <c r="B70" s="553" t="s">
        <v>397</v>
      </c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67"/>
      <c r="N70" s="367"/>
      <c r="O70" s="367"/>
      <c r="P70" s="367"/>
      <c r="Q70" s="367"/>
      <c r="R70" s="367"/>
      <c r="S70" s="367"/>
      <c r="T70" s="367"/>
      <c r="U70" s="367"/>
      <c r="V70" s="367"/>
      <c r="W70" s="566" t="str">
        <f t="shared" ref="W70" si="24">IF(X70=0,"",SUM(C71:L71))</f>
        <v/>
      </c>
      <c r="X70" s="568">
        <f>COUNT(C71:L71)</f>
        <v>0</v>
      </c>
    </row>
    <row r="71" spans="1:24" hidden="1" x14ac:dyDescent="0.25">
      <c r="A71" s="574"/>
      <c r="B71" s="554"/>
      <c r="C71" s="370" t="str">
        <f>IF(C70="x",C$47,"")</f>
        <v/>
      </c>
      <c r="D71" s="370" t="str">
        <f t="shared" ref="D71:L71" si="25">IF(D70="x",D$47,"")</f>
        <v/>
      </c>
      <c r="E71" s="370" t="str">
        <f t="shared" si="25"/>
        <v/>
      </c>
      <c r="F71" s="370" t="str">
        <f t="shared" si="25"/>
        <v/>
      </c>
      <c r="G71" s="370" t="str">
        <f t="shared" si="25"/>
        <v/>
      </c>
      <c r="H71" s="370" t="str">
        <f t="shared" si="25"/>
        <v/>
      </c>
      <c r="I71" s="370" t="str">
        <f t="shared" si="25"/>
        <v/>
      </c>
      <c r="J71" s="370" t="str">
        <f t="shared" si="25"/>
        <v/>
      </c>
      <c r="K71" s="370" t="str">
        <f t="shared" si="25"/>
        <v/>
      </c>
      <c r="L71" s="370" t="str">
        <f t="shared" si="25"/>
        <v/>
      </c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567"/>
      <c r="X71" s="569"/>
    </row>
    <row r="72" spans="1:24" ht="15.75" thickBot="1" x14ac:dyDescent="0.3">
      <c r="A72" s="574"/>
      <c r="B72" s="554" t="s">
        <v>398</v>
      </c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567" t="str">
        <f t="shared" ref="W72" si="26">IF(X72=0,"",SUM(C73:L73))</f>
        <v/>
      </c>
      <c r="X72" s="569">
        <f>COUNT(C73:L73)</f>
        <v>0</v>
      </c>
    </row>
    <row r="73" spans="1:24" ht="15.75" hidden="1" thickBot="1" x14ac:dyDescent="0.3">
      <c r="A73" s="574"/>
      <c r="B73" s="555"/>
      <c r="C73" s="372" t="str">
        <f>IF(C72="x",C$47,"")</f>
        <v/>
      </c>
      <c r="D73" s="372" t="str">
        <f t="shared" ref="D73:L73" si="27">IF(D72="x",D$47,"")</f>
        <v/>
      </c>
      <c r="E73" s="372" t="str">
        <f t="shared" si="27"/>
        <v/>
      </c>
      <c r="F73" s="372" t="str">
        <f t="shared" si="27"/>
        <v/>
      </c>
      <c r="G73" s="372" t="str">
        <f t="shared" si="27"/>
        <v/>
      </c>
      <c r="H73" s="372" t="str">
        <f t="shared" si="27"/>
        <v/>
      </c>
      <c r="I73" s="372" t="str">
        <f t="shared" si="27"/>
        <v/>
      </c>
      <c r="J73" s="372" t="str">
        <f t="shared" si="27"/>
        <v/>
      </c>
      <c r="K73" s="372" t="str">
        <f t="shared" si="27"/>
        <v/>
      </c>
      <c r="L73" s="372" t="str">
        <f t="shared" si="27"/>
        <v/>
      </c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570"/>
      <c r="X73" s="571"/>
    </row>
    <row r="74" spans="1:24" x14ac:dyDescent="0.25">
      <c r="A74" s="574"/>
      <c r="B74" s="541" t="s">
        <v>399</v>
      </c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560" t="str">
        <f t="shared" ref="W74" si="28">IF(X74=0,"",SUM(C75:L75))</f>
        <v/>
      </c>
      <c r="X74" s="562">
        <f>COUNT(C75:L75)</f>
        <v>0</v>
      </c>
    </row>
    <row r="75" spans="1:24" hidden="1" x14ac:dyDescent="0.25">
      <c r="A75" s="574"/>
      <c r="B75" s="542"/>
      <c r="C75" s="370" t="str">
        <f>IF(C74="x",C$47,"")</f>
        <v/>
      </c>
      <c r="D75" s="370" t="str">
        <f t="shared" ref="D75:L75" si="29">IF(D74="x",D$47,"")</f>
        <v/>
      </c>
      <c r="E75" s="370" t="str">
        <f t="shared" si="29"/>
        <v/>
      </c>
      <c r="F75" s="370" t="str">
        <f t="shared" si="29"/>
        <v/>
      </c>
      <c r="G75" s="370" t="str">
        <f t="shared" si="29"/>
        <v/>
      </c>
      <c r="H75" s="370" t="str">
        <f t="shared" si="29"/>
        <v/>
      </c>
      <c r="I75" s="370" t="str">
        <f t="shared" si="29"/>
        <v/>
      </c>
      <c r="J75" s="370" t="str">
        <f t="shared" si="29"/>
        <v/>
      </c>
      <c r="K75" s="370" t="str">
        <f t="shared" si="29"/>
        <v/>
      </c>
      <c r="L75" s="370" t="str">
        <f t="shared" si="29"/>
        <v/>
      </c>
      <c r="M75" s="365"/>
      <c r="N75" s="365"/>
      <c r="O75" s="365"/>
      <c r="P75" s="365"/>
      <c r="Q75" s="365"/>
      <c r="R75" s="365"/>
      <c r="S75" s="365"/>
      <c r="T75" s="365"/>
      <c r="U75" s="365"/>
      <c r="V75" s="365"/>
      <c r="W75" s="561"/>
      <c r="X75" s="563"/>
    </row>
    <row r="76" spans="1:24" ht="15.75" thickBot="1" x14ac:dyDescent="0.3">
      <c r="A76" s="574"/>
      <c r="B76" s="542" t="s">
        <v>400</v>
      </c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65"/>
      <c r="N76" s="365"/>
      <c r="O76" s="365"/>
      <c r="P76" s="365"/>
      <c r="Q76" s="365"/>
      <c r="R76" s="365"/>
      <c r="S76" s="365"/>
      <c r="T76" s="365"/>
      <c r="U76" s="365"/>
      <c r="V76" s="365"/>
      <c r="W76" s="561" t="str">
        <f t="shared" ref="W76" si="30">IF(X76=0,"",SUM(C77:L77))</f>
        <v/>
      </c>
      <c r="X76" s="563">
        <f>COUNT(C77:L77)</f>
        <v>0</v>
      </c>
    </row>
    <row r="77" spans="1:24" ht="15.75" hidden="1" thickBot="1" x14ac:dyDescent="0.3">
      <c r="A77" s="574"/>
      <c r="B77" s="552"/>
      <c r="C77" s="372" t="str">
        <f>IF(C76="x",C$47,"")</f>
        <v/>
      </c>
      <c r="D77" s="372" t="str">
        <f t="shared" ref="D77:L77" si="31">IF(D76="x",D$47,"")</f>
        <v/>
      </c>
      <c r="E77" s="372" t="str">
        <f t="shared" si="31"/>
        <v/>
      </c>
      <c r="F77" s="372" t="str">
        <f t="shared" si="31"/>
        <v/>
      </c>
      <c r="G77" s="372" t="str">
        <f t="shared" si="31"/>
        <v/>
      </c>
      <c r="H77" s="372" t="str">
        <f t="shared" si="31"/>
        <v/>
      </c>
      <c r="I77" s="372" t="str">
        <f t="shared" si="31"/>
        <v/>
      </c>
      <c r="J77" s="372" t="str">
        <f t="shared" si="31"/>
        <v/>
      </c>
      <c r="K77" s="372" t="str">
        <f t="shared" si="31"/>
        <v/>
      </c>
      <c r="L77" s="372" t="str">
        <f t="shared" si="31"/>
        <v/>
      </c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564"/>
      <c r="X77" s="565"/>
    </row>
    <row r="78" spans="1:24" ht="15.75" thickBot="1" x14ac:dyDescent="0.3">
      <c r="A78" s="574"/>
      <c r="B78" s="543" t="s">
        <v>401</v>
      </c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67"/>
      <c r="N78" s="367"/>
      <c r="O78" s="367"/>
      <c r="P78" s="367"/>
      <c r="Q78" s="367"/>
      <c r="R78" s="367"/>
      <c r="S78" s="367"/>
      <c r="T78" s="367"/>
      <c r="U78" s="367"/>
      <c r="V78" s="367"/>
      <c r="W78" s="566" t="str">
        <f t="shared" ref="W78" si="32">IF(X78=0,"",SUM(C79:L79))</f>
        <v/>
      </c>
      <c r="X78" s="568">
        <f>COUNT(C79:L79)</f>
        <v>0</v>
      </c>
    </row>
    <row r="79" spans="1:24" ht="15.75" hidden="1" thickBot="1" x14ac:dyDescent="0.3">
      <c r="A79" s="574"/>
      <c r="B79" s="544"/>
      <c r="C79" s="396" t="str">
        <f>IF(C78="x",C$47,"")</f>
        <v/>
      </c>
      <c r="D79" s="396" t="str">
        <f t="shared" ref="D79:L79" si="33">IF(D78="x",D$47,"")</f>
        <v/>
      </c>
      <c r="E79" s="396" t="str">
        <f t="shared" si="33"/>
        <v/>
      </c>
      <c r="F79" s="396" t="str">
        <f t="shared" si="33"/>
        <v/>
      </c>
      <c r="G79" s="396" t="str">
        <f t="shared" si="33"/>
        <v/>
      </c>
      <c r="H79" s="396" t="str">
        <f t="shared" si="33"/>
        <v/>
      </c>
      <c r="I79" s="396" t="str">
        <f t="shared" si="33"/>
        <v/>
      </c>
      <c r="J79" s="396" t="str">
        <f t="shared" si="33"/>
        <v/>
      </c>
      <c r="K79" s="396" t="str">
        <f t="shared" si="33"/>
        <v/>
      </c>
      <c r="L79" s="396" t="str">
        <f t="shared" si="33"/>
        <v/>
      </c>
      <c r="M79" s="366"/>
      <c r="N79" s="366"/>
      <c r="O79" s="366"/>
      <c r="P79" s="366"/>
      <c r="Q79" s="366"/>
      <c r="R79" s="366"/>
      <c r="S79" s="366"/>
      <c r="T79" s="366"/>
      <c r="U79" s="366"/>
      <c r="V79" s="366"/>
      <c r="W79" s="572"/>
      <c r="X79" s="573"/>
    </row>
    <row r="80" spans="1:24" x14ac:dyDescent="0.25">
      <c r="A80" s="574"/>
      <c r="B80" s="543" t="s">
        <v>402</v>
      </c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67"/>
      <c r="N80" s="367"/>
      <c r="O80" s="367"/>
      <c r="P80" s="367"/>
      <c r="Q80" s="367"/>
      <c r="R80" s="367"/>
      <c r="S80" s="367"/>
      <c r="T80" s="367"/>
      <c r="U80" s="367"/>
      <c r="V80" s="367"/>
      <c r="W80" s="566" t="str">
        <f t="shared" ref="W80" si="34">IF(X80=0,"",SUM(C81:L81))</f>
        <v/>
      </c>
      <c r="X80" s="568">
        <f>COUNT(C81:L81)</f>
        <v>0</v>
      </c>
    </row>
    <row r="81" spans="1:24" ht="15.75" hidden="1" thickBot="1" x14ac:dyDescent="0.3">
      <c r="A81" s="574"/>
      <c r="B81" s="545"/>
      <c r="C81" s="293" t="str">
        <f>IF(C80="x",C$47,"")</f>
        <v/>
      </c>
      <c r="D81" s="293" t="str">
        <f t="shared" ref="D81:L81" si="35">IF(D80="x",D$47,"")</f>
        <v/>
      </c>
      <c r="E81" s="293" t="str">
        <f t="shared" si="35"/>
        <v/>
      </c>
      <c r="F81" s="293" t="str">
        <f t="shared" si="35"/>
        <v/>
      </c>
      <c r="G81" s="293" t="str">
        <f t="shared" si="35"/>
        <v/>
      </c>
      <c r="H81" s="293" t="str">
        <f t="shared" si="35"/>
        <v/>
      </c>
      <c r="I81" s="293" t="str">
        <f t="shared" si="35"/>
        <v/>
      </c>
      <c r="J81" s="293" t="str">
        <f t="shared" si="35"/>
        <v/>
      </c>
      <c r="K81" s="293" t="str">
        <f t="shared" si="35"/>
        <v/>
      </c>
      <c r="L81" s="293" t="str">
        <f t="shared" si="35"/>
        <v/>
      </c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570"/>
      <c r="X81" s="571"/>
    </row>
  </sheetData>
  <mergeCells count="67">
    <mergeCell ref="A78:A79"/>
    <mergeCell ref="A80:A81"/>
    <mergeCell ref="W80:W81"/>
    <mergeCell ref="X80:X81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W74:W75"/>
    <mergeCell ref="X74:X75"/>
    <mergeCell ref="W76:W77"/>
    <mergeCell ref="X76:X77"/>
    <mergeCell ref="W78:W79"/>
    <mergeCell ref="X78:X79"/>
    <mergeCell ref="W68:W69"/>
    <mergeCell ref="X68:X69"/>
    <mergeCell ref="W70:W71"/>
    <mergeCell ref="X70:X71"/>
    <mergeCell ref="W72:W73"/>
    <mergeCell ref="X72:X73"/>
    <mergeCell ref="W62:W63"/>
    <mergeCell ref="X62:X63"/>
    <mergeCell ref="W64:W65"/>
    <mergeCell ref="X64:X65"/>
    <mergeCell ref="W66:W67"/>
    <mergeCell ref="X66:X67"/>
    <mergeCell ref="W56:W57"/>
    <mergeCell ref="X56:X57"/>
    <mergeCell ref="W58:W59"/>
    <mergeCell ref="X58:X59"/>
    <mergeCell ref="W60:W61"/>
    <mergeCell ref="X60:X61"/>
    <mergeCell ref="W50:W51"/>
    <mergeCell ref="X50:X51"/>
    <mergeCell ref="W52:W53"/>
    <mergeCell ref="X52:X53"/>
    <mergeCell ref="W54:W55"/>
    <mergeCell ref="X54:X55"/>
    <mergeCell ref="B78:B79"/>
    <mergeCell ref="B80:B81"/>
    <mergeCell ref="C50:L50"/>
    <mergeCell ref="C51:L51"/>
    <mergeCell ref="B68:B69"/>
    <mergeCell ref="B70:B71"/>
    <mergeCell ref="B72:B73"/>
    <mergeCell ref="B74:B75"/>
    <mergeCell ref="B76:B77"/>
    <mergeCell ref="B58:B59"/>
    <mergeCell ref="B60:B61"/>
    <mergeCell ref="B62:B63"/>
    <mergeCell ref="B64:B65"/>
    <mergeCell ref="B66:B67"/>
    <mergeCell ref="A1:A2"/>
    <mergeCell ref="B50:B51"/>
    <mergeCell ref="B52:B53"/>
    <mergeCell ref="B54:B55"/>
    <mergeCell ref="B56:B57"/>
  </mergeCells>
  <pageMargins left="0.25" right="0.25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C000"/>
    <pageSetUpPr fitToPage="1"/>
  </sheetPr>
  <dimension ref="A1:S81"/>
  <sheetViews>
    <sheetView zoomScale="80" zoomScaleNormal="80" workbookViewId="0">
      <selection activeCell="C46" sqref="C46"/>
    </sheetView>
  </sheetViews>
  <sheetFormatPr defaultColWidth="9.140625" defaultRowHeight="15" x14ac:dyDescent="0.25"/>
  <cols>
    <col min="1" max="1" width="42.7109375" style="97" customWidth="1"/>
    <col min="2" max="2" width="18.28515625" style="97" customWidth="1"/>
    <col min="3" max="12" width="7.7109375" style="97" customWidth="1"/>
    <col min="13" max="17" width="7.42578125" style="97" hidden="1" customWidth="1"/>
    <col min="18" max="18" width="15" style="97" customWidth="1"/>
    <col min="19" max="19" width="18.42578125" style="97" customWidth="1"/>
    <col min="20" max="16384" width="9.140625" style="97"/>
  </cols>
  <sheetData>
    <row r="1" spans="1:19" ht="21" customHeight="1" x14ac:dyDescent="0.25">
      <c r="A1" s="538" t="s">
        <v>261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9" ht="21" customHeight="1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spans="1:19" x14ac:dyDescent="0.25">
      <c r="B3" s="130" t="s">
        <v>12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28" t="s">
        <v>39</v>
      </c>
      <c r="S3" s="135" t="s">
        <v>257</v>
      </c>
    </row>
    <row r="4" spans="1:19" x14ac:dyDescent="0.25">
      <c r="A4" s="119" t="s">
        <v>1</v>
      </c>
      <c r="B4" s="119" t="s">
        <v>0</v>
      </c>
      <c r="C4" s="131" t="s">
        <v>48</v>
      </c>
      <c r="D4" s="131" t="s">
        <v>49</v>
      </c>
      <c r="E4" s="131" t="s">
        <v>50</v>
      </c>
      <c r="F4" s="131" t="s">
        <v>51</v>
      </c>
      <c r="G4" s="131" t="s">
        <v>52</v>
      </c>
      <c r="H4" s="131" t="s">
        <v>53</v>
      </c>
      <c r="I4" s="131" t="s">
        <v>54</v>
      </c>
      <c r="J4" s="131" t="s">
        <v>55</v>
      </c>
      <c r="K4" s="131" t="s">
        <v>56</v>
      </c>
      <c r="L4" s="131" t="s">
        <v>57</v>
      </c>
      <c r="M4" s="131" t="s">
        <v>80</v>
      </c>
      <c r="N4" s="131" t="s">
        <v>184</v>
      </c>
      <c r="O4" s="131" t="s">
        <v>185</v>
      </c>
      <c r="P4" s="131" t="s">
        <v>186</v>
      </c>
      <c r="Q4" s="131" t="s">
        <v>187</v>
      </c>
      <c r="R4" s="131">
        <f>SUM(C3:M3)</f>
        <v>1</v>
      </c>
      <c r="S4" s="131">
        <v>0</v>
      </c>
    </row>
    <row r="5" spans="1:19" x14ac:dyDescent="0.25">
      <c r="A5" s="8">
        <f>'Students Names and ID'!B2</f>
        <v>0</v>
      </c>
      <c r="B5" s="8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9">
        <f>SUM(C5:Q5)</f>
        <v>0</v>
      </c>
      <c r="S5" s="136">
        <f>R5*S$4/R$4</f>
        <v>0</v>
      </c>
    </row>
    <row r="6" spans="1:19" x14ac:dyDescent="0.25">
      <c r="A6" s="8">
        <f>'Students Names and ID'!B3</f>
        <v>0</v>
      </c>
      <c r="B6" s="8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9">
        <f t="shared" ref="R6:R44" si="0">SUM(C6:Q6)</f>
        <v>0</v>
      </c>
      <c r="S6" s="136">
        <f t="shared" ref="S6:S44" si="1">R6*S$4/R$4</f>
        <v>0</v>
      </c>
    </row>
    <row r="7" spans="1:19" x14ac:dyDescent="0.25">
      <c r="A7" s="8">
        <f>'Students Names and ID'!B4</f>
        <v>0</v>
      </c>
      <c r="B7" s="8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6"/>
      <c r="L7" s="186"/>
      <c r="M7" s="186"/>
      <c r="N7" s="186"/>
      <c r="O7" s="186"/>
      <c r="P7" s="186"/>
      <c r="Q7" s="186"/>
      <c r="R7" s="189">
        <f t="shared" si="0"/>
        <v>0</v>
      </c>
      <c r="S7" s="136">
        <f t="shared" si="1"/>
        <v>0</v>
      </c>
    </row>
    <row r="8" spans="1:19" x14ac:dyDescent="0.25">
      <c r="A8" s="8">
        <f>'Students Names and ID'!B5</f>
        <v>0</v>
      </c>
      <c r="B8" s="8">
        <f>'Students Names and ID'!C5</f>
        <v>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9">
        <f t="shared" si="0"/>
        <v>0</v>
      </c>
      <c r="S8" s="136">
        <f t="shared" si="1"/>
        <v>0</v>
      </c>
    </row>
    <row r="9" spans="1:19" x14ac:dyDescent="0.25">
      <c r="A9" s="8">
        <f>'Students Names and ID'!B6</f>
        <v>0</v>
      </c>
      <c r="B9" s="8">
        <f>'Students Names and ID'!C6</f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9">
        <f t="shared" si="0"/>
        <v>0</v>
      </c>
      <c r="S9" s="136">
        <f t="shared" si="1"/>
        <v>0</v>
      </c>
    </row>
    <row r="10" spans="1:19" x14ac:dyDescent="0.25">
      <c r="A10" s="8">
        <f>'Students Names and ID'!B7</f>
        <v>0</v>
      </c>
      <c r="B10" s="8">
        <f>'Students Names and ID'!C7</f>
        <v>0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9">
        <f t="shared" si="0"/>
        <v>0</v>
      </c>
      <c r="S10" s="136">
        <f t="shared" si="1"/>
        <v>0</v>
      </c>
    </row>
    <row r="11" spans="1:19" x14ac:dyDescent="0.25">
      <c r="A11" s="8">
        <f>'Students Names and ID'!B8</f>
        <v>0</v>
      </c>
      <c r="B11" s="8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9">
        <f t="shared" si="0"/>
        <v>0</v>
      </c>
      <c r="S11" s="136">
        <f t="shared" si="1"/>
        <v>0</v>
      </c>
    </row>
    <row r="12" spans="1:19" x14ac:dyDescent="0.25">
      <c r="A12" s="8">
        <f>'Students Names and ID'!B9</f>
        <v>0</v>
      </c>
      <c r="B12" s="8">
        <f>'Students Names and ID'!C9</f>
        <v>0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9">
        <f t="shared" si="0"/>
        <v>0</v>
      </c>
      <c r="S12" s="136">
        <f t="shared" si="1"/>
        <v>0</v>
      </c>
    </row>
    <row r="13" spans="1:19" x14ac:dyDescent="0.25">
      <c r="A13" s="138">
        <f>'Students Names and ID'!B10</f>
        <v>0</v>
      </c>
      <c r="B13" s="138">
        <f>'Students Names and ID'!C10</f>
        <v>0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9">
        <f t="shared" si="0"/>
        <v>0</v>
      </c>
      <c r="S13" s="136">
        <f t="shared" si="1"/>
        <v>0</v>
      </c>
    </row>
    <row r="14" spans="1:19" x14ac:dyDescent="0.25">
      <c r="A14" s="8">
        <f>'Students Names and ID'!B11</f>
        <v>0</v>
      </c>
      <c r="B14" s="8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9">
        <f t="shared" si="0"/>
        <v>0</v>
      </c>
      <c r="S14" s="136">
        <f t="shared" si="1"/>
        <v>0</v>
      </c>
    </row>
    <row r="15" spans="1:19" x14ac:dyDescent="0.25">
      <c r="A15" s="8">
        <f>'Students Names and ID'!B12</f>
        <v>0</v>
      </c>
      <c r="B15" s="8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9">
        <f t="shared" si="0"/>
        <v>0</v>
      </c>
      <c r="S15" s="136">
        <f t="shared" si="1"/>
        <v>0</v>
      </c>
    </row>
    <row r="16" spans="1:19" x14ac:dyDescent="0.25">
      <c r="A16" s="139">
        <f>'Students Names and ID'!B13</f>
        <v>0</v>
      </c>
      <c r="B16" s="139">
        <f>'Students Names and ID'!C13</f>
        <v>0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9">
        <f t="shared" si="0"/>
        <v>0</v>
      </c>
      <c r="S16" s="136">
        <f t="shared" si="1"/>
        <v>0</v>
      </c>
    </row>
    <row r="17" spans="1:19" x14ac:dyDescent="0.25">
      <c r="A17" s="8">
        <f>'Students Names and ID'!B14</f>
        <v>0</v>
      </c>
      <c r="B17" s="8">
        <f>'Students Names and ID'!C14</f>
        <v>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9">
        <f t="shared" si="0"/>
        <v>0</v>
      </c>
      <c r="S17" s="136">
        <f t="shared" si="1"/>
        <v>0</v>
      </c>
    </row>
    <row r="18" spans="1:19" x14ac:dyDescent="0.25">
      <c r="A18" s="8">
        <f>'Students Names and ID'!B15</f>
        <v>0</v>
      </c>
      <c r="B18" s="8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9">
        <f t="shared" si="0"/>
        <v>0</v>
      </c>
      <c r="S18" s="136">
        <f t="shared" si="1"/>
        <v>0</v>
      </c>
    </row>
    <row r="19" spans="1:19" x14ac:dyDescent="0.25">
      <c r="A19" s="8">
        <f>'Students Names and ID'!B16</f>
        <v>0</v>
      </c>
      <c r="B19" s="8">
        <f>'Students Names and ID'!C16</f>
        <v>0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9">
        <f t="shared" si="0"/>
        <v>0</v>
      </c>
      <c r="S19" s="136">
        <f t="shared" si="1"/>
        <v>0</v>
      </c>
    </row>
    <row r="20" spans="1:19" x14ac:dyDescent="0.25">
      <c r="A20" s="8">
        <f>'Students Names and ID'!B17</f>
        <v>0</v>
      </c>
      <c r="B20" s="8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9">
        <f t="shared" si="0"/>
        <v>0</v>
      </c>
      <c r="S20" s="136">
        <f t="shared" si="1"/>
        <v>0</v>
      </c>
    </row>
    <row r="21" spans="1:19" x14ac:dyDescent="0.25">
      <c r="A21" s="8">
        <f>'Students Names and ID'!B18</f>
        <v>0</v>
      </c>
      <c r="B21" s="8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6"/>
      <c r="N21" s="186"/>
      <c r="O21" s="186"/>
      <c r="P21" s="186"/>
      <c r="Q21" s="186"/>
      <c r="R21" s="189">
        <f t="shared" si="0"/>
        <v>0</v>
      </c>
      <c r="S21" s="136">
        <f t="shared" si="1"/>
        <v>0</v>
      </c>
    </row>
    <row r="22" spans="1:19" x14ac:dyDescent="0.25">
      <c r="A22" s="8">
        <f>'Students Names and ID'!B19</f>
        <v>0</v>
      </c>
      <c r="B22" s="8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9">
        <f t="shared" si="0"/>
        <v>0</v>
      </c>
      <c r="S22" s="136">
        <f t="shared" si="1"/>
        <v>0</v>
      </c>
    </row>
    <row r="23" spans="1:19" x14ac:dyDescent="0.25">
      <c r="A23" s="8">
        <f>'Students Names and ID'!B20</f>
        <v>0</v>
      </c>
      <c r="B23" s="8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9">
        <f t="shared" si="0"/>
        <v>0</v>
      </c>
      <c r="S23" s="136">
        <f t="shared" si="1"/>
        <v>0</v>
      </c>
    </row>
    <row r="24" spans="1:19" x14ac:dyDescent="0.25">
      <c r="A24" s="8">
        <f>'Students Names and ID'!B21</f>
        <v>0</v>
      </c>
      <c r="B24" s="8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9">
        <f t="shared" si="0"/>
        <v>0</v>
      </c>
      <c r="S24" s="136">
        <f t="shared" si="1"/>
        <v>0</v>
      </c>
    </row>
    <row r="25" spans="1:19" x14ac:dyDescent="0.25">
      <c r="A25" s="8">
        <f>'Students Names and ID'!B22</f>
        <v>0</v>
      </c>
      <c r="B25" s="8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9">
        <f t="shared" si="0"/>
        <v>0</v>
      </c>
      <c r="S25" s="136">
        <f t="shared" si="1"/>
        <v>0</v>
      </c>
    </row>
    <row r="26" spans="1:19" x14ac:dyDescent="0.25">
      <c r="A26" s="8">
        <f>'Students Names and ID'!B23</f>
        <v>0</v>
      </c>
      <c r="B26" s="8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9">
        <f t="shared" si="0"/>
        <v>0</v>
      </c>
      <c r="S26" s="136">
        <f t="shared" si="1"/>
        <v>0</v>
      </c>
    </row>
    <row r="27" spans="1:19" x14ac:dyDescent="0.25">
      <c r="A27" s="8">
        <f>'Students Names and ID'!B24</f>
        <v>0</v>
      </c>
      <c r="B27" s="8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9">
        <f t="shared" si="0"/>
        <v>0</v>
      </c>
      <c r="S27" s="136">
        <f t="shared" si="1"/>
        <v>0</v>
      </c>
    </row>
    <row r="28" spans="1:19" x14ac:dyDescent="0.25">
      <c r="A28" s="8">
        <f>'Students Names and ID'!B25</f>
        <v>0</v>
      </c>
      <c r="B28" s="8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9">
        <f t="shared" si="0"/>
        <v>0</v>
      </c>
      <c r="S28" s="136">
        <f t="shared" si="1"/>
        <v>0</v>
      </c>
    </row>
    <row r="29" spans="1:19" x14ac:dyDescent="0.25">
      <c r="A29" s="8">
        <f>'Students Names and ID'!B26</f>
        <v>0</v>
      </c>
      <c r="B29" s="8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9">
        <f t="shared" si="0"/>
        <v>0</v>
      </c>
      <c r="S29" s="136">
        <f t="shared" si="1"/>
        <v>0</v>
      </c>
    </row>
    <row r="30" spans="1:19" x14ac:dyDescent="0.25">
      <c r="A30" s="8">
        <f>'Students Names and ID'!B27</f>
        <v>0</v>
      </c>
      <c r="B30" s="8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9">
        <f t="shared" si="0"/>
        <v>0</v>
      </c>
      <c r="S30" s="136">
        <f t="shared" si="1"/>
        <v>0</v>
      </c>
    </row>
    <row r="31" spans="1:19" x14ac:dyDescent="0.25">
      <c r="A31" s="8">
        <f>'Students Names and ID'!B28</f>
        <v>0</v>
      </c>
      <c r="B31" s="8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9">
        <f t="shared" si="0"/>
        <v>0</v>
      </c>
      <c r="S31" s="136">
        <f t="shared" si="1"/>
        <v>0</v>
      </c>
    </row>
    <row r="32" spans="1:19" ht="13.5" customHeight="1" x14ac:dyDescent="0.25">
      <c r="A32" s="8">
        <f>'Students Names and ID'!B29</f>
        <v>0</v>
      </c>
      <c r="B32" s="8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9">
        <f t="shared" si="0"/>
        <v>0</v>
      </c>
      <c r="S32" s="136">
        <f t="shared" si="1"/>
        <v>0</v>
      </c>
    </row>
    <row r="33" spans="1:19" x14ac:dyDescent="0.25">
      <c r="A33" s="8">
        <f>'Students Names and ID'!B30</f>
        <v>0</v>
      </c>
      <c r="B33" s="8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9">
        <f t="shared" si="0"/>
        <v>0</v>
      </c>
      <c r="S33" s="136">
        <f t="shared" si="1"/>
        <v>0</v>
      </c>
    </row>
    <row r="34" spans="1:19" x14ac:dyDescent="0.25">
      <c r="A34" s="8">
        <f>'Students Names and ID'!B31</f>
        <v>0</v>
      </c>
      <c r="B34" s="8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9">
        <f t="shared" si="0"/>
        <v>0</v>
      </c>
      <c r="S34" s="136">
        <f t="shared" si="1"/>
        <v>0</v>
      </c>
    </row>
    <row r="35" spans="1:19" x14ac:dyDescent="0.25">
      <c r="A35" s="8">
        <f>'Students Names and ID'!B32</f>
        <v>0</v>
      </c>
      <c r="B35" s="8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9">
        <f t="shared" si="0"/>
        <v>0</v>
      </c>
      <c r="S35" s="136">
        <f t="shared" si="1"/>
        <v>0</v>
      </c>
    </row>
    <row r="36" spans="1:19" x14ac:dyDescent="0.25">
      <c r="A36" s="8">
        <f>'Students Names and ID'!B33</f>
        <v>0</v>
      </c>
      <c r="B36" s="8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9">
        <f t="shared" si="0"/>
        <v>0</v>
      </c>
      <c r="S36" s="136">
        <f t="shared" si="1"/>
        <v>0</v>
      </c>
    </row>
    <row r="37" spans="1:19" x14ac:dyDescent="0.25">
      <c r="A37" s="8">
        <f>'Students Names and ID'!B34</f>
        <v>0</v>
      </c>
      <c r="B37" s="8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9">
        <f t="shared" si="0"/>
        <v>0</v>
      </c>
      <c r="S37" s="136">
        <f t="shared" si="1"/>
        <v>0</v>
      </c>
    </row>
    <row r="38" spans="1:19" x14ac:dyDescent="0.25">
      <c r="A38" s="8">
        <f>'Students Names and ID'!B35</f>
        <v>0</v>
      </c>
      <c r="B38" s="8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9">
        <f t="shared" si="0"/>
        <v>0</v>
      </c>
      <c r="S38" s="136">
        <f t="shared" si="1"/>
        <v>0</v>
      </c>
    </row>
    <row r="39" spans="1:19" x14ac:dyDescent="0.25">
      <c r="A39" s="8">
        <f>'Students Names and ID'!B36</f>
        <v>0</v>
      </c>
      <c r="B39" s="8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9">
        <f t="shared" si="0"/>
        <v>0</v>
      </c>
      <c r="S39" s="136">
        <f t="shared" si="1"/>
        <v>0</v>
      </c>
    </row>
    <row r="40" spans="1:19" x14ac:dyDescent="0.25">
      <c r="A40" s="8">
        <f>'Students Names and ID'!B37</f>
        <v>0</v>
      </c>
      <c r="B40" s="8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9">
        <f t="shared" si="0"/>
        <v>0</v>
      </c>
      <c r="S40" s="136">
        <f t="shared" si="1"/>
        <v>0</v>
      </c>
    </row>
    <row r="41" spans="1:19" x14ac:dyDescent="0.25">
      <c r="A41" s="8">
        <f>'Students Names and ID'!B38</f>
        <v>0</v>
      </c>
      <c r="B41" s="8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9">
        <f t="shared" si="0"/>
        <v>0</v>
      </c>
      <c r="S41" s="136">
        <f t="shared" si="1"/>
        <v>0</v>
      </c>
    </row>
    <row r="42" spans="1:19" x14ac:dyDescent="0.25">
      <c r="A42" s="8">
        <f>'Students Names and ID'!B39</f>
        <v>0</v>
      </c>
      <c r="B42" s="8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9">
        <f t="shared" si="0"/>
        <v>0</v>
      </c>
      <c r="S42" s="136">
        <f t="shared" si="1"/>
        <v>0</v>
      </c>
    </row>
    <row r="43" spans="1:19" x14ac:dyDescent="0.25">
      <c r="A43" s="8">
        <f>'Students Names and ID'!B40</f>
        <v>0</v>
      </c>
      <c r="B43" s="8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9">
        <f t="shared" si="0"/>
        <v>0</v>
      </c>
      <c r="S43" s="136">
        <f t="shared" si="1"/>
        <v>0</v>
      </c>
    </row>
    <row r="44" spans="1:19" x14ac:dyDescent="0.25">
      <c r="A44" s="8">
        <f>'Students Names and ID'!B41</f>
        <v>0</v>
      </c>
      <c r="B44" s="8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9">
        <f t="shared" si="0"/>
        <v>0</v>
      </c>
      <c r="S44" s="136">
        <f t="shared" si="1"/>
        <v>0</v>
      </c>
    </row>
    <row r="45" spans="1:19" x14ac:dyDescent="0.25">
      <c r="B45" s="128" t="s">
        <v>37</v>
      </c>
      <c r="C45" s="137" t="str">
        <f t="shared" ref="C45:S45" si="2">IF(COUNTBLANK(C5:C44)=40," ",AVERAGE(C5:C44))</f>
        <v xml:space="preserve"> </v>
      </c>
      <c r="D45" s="137" t="str">
        <f t="shared" si="2"/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si="2"/>
        <v xml:space="preserve"> </v>
      </c>
      <c r="I45" s="137" t="str">
        <f t="shared" si="2"/>
        <v xml:space="preserve"> </v>
      </c>
      <c r="J45" s="137" t="str">
        <f t="shared" si="2"/>
        <v xml:space="preserve"> </v>
      </c>
      <c r="K45" s="137" t="str">
        <f t="shared" si="2"/>
        <v xml:space="preserve"> </v>
      </c>
      <c r="L45" s="137" t="str">
        <f t="shared" si="2"/>
        <v xml:space="preserve"> </v>
      </c>
      <c r="M45" s="137" t="str">
        <f t="shared" si="2"/>
        <v xml:space="preserve"> </v>
      </c>
      <c r="N45" s="137" t="str">
        <f t="shared" si="2"/>
        <v xml:space="preserve"> </v>
      </c>
      <c r="O45" s="137" t="str">
        <f t="shared" si="2"/>
        <v xml:space="preserve"> </v>
      </c>
      <c r="P45" s="137" t="str">
        <f t="shared" si="2"/>
        <v xml:space="preserve"> </v>
      </c>
      <c r="Q45" s="137" t="str">
        <f t="shared" si="2"/>
        <v xml:space="preserve"> </v>
      </c>
      <c r="R45" s="137">
        <f t="shared" si="2"/>
        <v>0</v>
      </c>
      <c r="S45" s="137">
        <f t="shared" si="2"/>
        <v>0</v>
      </c>
    </row>
    <row r="46" spans="1:19" x14ac:dyDescent="0.25">
      <c r="B46" s="128" t="s">
        <v>42</v>
      </c>
      <c r="C46" s="5" t="str">
        <f t="shared" ref="C46:Q46" si="3">IF(C45="","",IF(ISERROR(ROUND(C45*10/C3,1))," ",(ROUND(C45*10/C3,1))))</f>
        <v xml:space="preserve"> </v>
      </c>
      <c r="D46" s="5" t="str">
        <f t="shared" si="3"/>
        <v xml:space="preserve"> </v>
      </c>
      <c r="E46" s="5" t="str">
        <f t="shared" si="3"/>
        <v xml:space="preserve"> </v>
      </c>
      <c r="F46" s="5" t="str">
        <f t="shared" si="3"/>
        <v xml:space="preserve"> </v>
      </c>
      <c r="G46" s="5" t="str">
        <f t="shared" si="3"/>
        <v xml:space="preserve"> </v>
      </c>
      <c r="H46" s="5" t="str">
        <f t="shared" si="3"/>
        <v xml:space="preserve"> </v>
      </c>
      <c r="I46" s="5" t="str">
        <f t="shared" si="3"/>
        <v xml:space="preserve"> </v>
      </c>
      <c r="J46" s="5" t="str">
        <f t="shared" si="3"/>
        <v xml:space="preserve"> </v>
      </c>
      <c r="K46" s="5" t="str">
        <f t="shared" si="3"/>
        <v xml:space="preserve"> </v>
      </c>
      <c r="L46" s="5" t="str">
        <f t="shared" si="3"/>
        <v xml:space="preserve"> </v>
      </c>
      <c r="M46" s="5" t="str">
        <f t="shared" si="3"/>
        <v xml:space="preserve"> </v>
      </c>
      <c r="N46" s="5" t="str">
        <f t="shared" si="3"/>
        <v xml:space="preserve"> </v>
      </c>
      <c r="O46" s="5" t="str">
        <f t="shared" si="3"/>
        <v xml:space="preserve"> </v>
      </c>
      <c r="P46" s="5" t="str">
        <f t="shared" si="3"/>
        <v xml:space="preserve"> </v>
      </c>
      <c r="Q46" s="5" t="str">
        <f t="shared" si="3"/>
        <v xml:space="preserve"> </v>
      </c>
      <c r="R46" s="5">
        <f>IF(R45="","",IF(ISERROR(ROUND(R45*10/R4,1))," ",(ROUND(R45*10/R4,1))))</f>
        <v>0</v>
      </c>
      <c r="S46" s="5" t="str">
        <f>IF(S45="","",IF(ISERROR(ROUND(S45*10/S4,1))," ",(ROUND(S45*10/S4,1))))</f>
        <v xml:space="preserve"> </v>
      </c>
    </row>
    <row r="47" spans="1:19" x14ac:dyDescent="0.25">
      <c r="B47" s="128" t="s">
        <v>377</v>
      </c>
      <c r="C47" s="5">
        <f>COUNTIF(C5:C44,"&gt;="&amp;(0.7*C3))</f>
        <v>0</v>
      </c>
      <c r="D47" s="5">
        <f t="shared" ref="D47:L47" si="4">COUNTIF(D5:D44,"&gt;="&amp;(0.7*D3))</f>
        <v>0</v>
      </c>
      <c r="E47" s="5">
        <f t="shared" si="4"/>
        <v>0</v>
      </c>
      <c r="F47" s="5">
        <f t="shared" si="4"/>
        <v>0</v>
      </c>
      <c r="G47" s="5">
        <f t="shared" si="4"/>
        <v>0</v>
      </c>
      <c r="H47" s="5">
        <f t="shared" si="4"/>
        <v>0</v>
      </c>
      <c r="I47" s="5">
        <f t="shared" si="4"/>
        <v>0</v>
      </c>
      <c r="J47" s="5">
        <f t="shared" si="4"/>
        <v>0</v>
      </c>
      <c r="K47" s="5">
        <f t="shared" si="4"/>
        <v>0</v>
      </c>
      <c r="L47" s="5">
        <f t="shared" si="4"/>
        <v>0</v>
      </c>
      <c r="M47" s="5">
        <f t="shared" ref="M47:Q47" si="5">COUNTIF(M5:M44,"&gt;"&amp;(0.75*M3))</f>
        <v>0</v>
      </c>
      <c r="N47" s="5">
        <f t="shared" si="5"/>
        <v>0</v>
      </c>
      <c r="O47" s="5">
        <f t="shared" si="5"/>
        <v>0</v>
      </c>
      <c r="P47" s="5">
        <f t="shared" si="5"/>
        <v>0</v>
      </c>
      <c r="Q47" s="5">
        <f t="shared" si="5"/>
        <v>0</v>
      </c>
    </row>
    <row r="48" spans="1:19" ht="15.75" thickBot="1" x14ac:dyDescent="0.3"/>
    <row r="49" spans="2:19" ht="15.75" thickBot="1" x14ac:dyDescent="0.3">
      <c r="C49" s="347" t="str">
        <f>C4</f>
        <v>Quiz 1</v>
      </c>
      <c r="D49" s="348" t="str">
        <f t="shared" ref="D49:L49" si="6">D4</f>
        <v>Quiz 2</v>
      </c>
      <c r="E49" s="348" t="str">
        <f t="shared" si="6"/>
        <v>Quiz 3</v>
      </c>
      <c r="F49" s="348" t="str">
        <f t="shared" si="6"/>
        <v>Quiz 4</v>
      </c>
      <c r="G49" s="348" t="str">
        <f t="shared" si="6"/>
        <v>Quiz 5</v>
      </c>
      <c r="H49" s="348" t="str">
        <f t="shared" si="6"/>
        <v>Quiz 6</v>
      </c>
      <c r="I49" s="348" t="str">
        <f t="shared" si="6"/>
        <v>Quiz 7</v>
      </c>
      <c r="J49" s="348" t="str">
        <f t="shared" si="6"/>
        <v>Quiz 8</v>
      </c>
      <c r="K49" s="348" t="str">
        <f t="shared" si="6"/>
        <v>Quiz 9</v>
      </c>
      <c r="L49" s="349" t="str">
        <f t="shared" si="6"/>
        <v>Quiz 10</v>
      </c>
    </row>
    <row r="50" spans="2:19" ht="36" customHeight="1" thickBot="1" x14ac:dyDescent="0.3">
      <c r="B50" s="584" t="s">
        <v>420</v>
      </c>
      <c r="C50" s="590" t="s">
        <v>410</v>
      </c>
      <c r="D50" s="590"/>
      <c r="E50" s="590"/>
      <c r="F50" s="590"/>
      <c r="G50" s="590"/>
      <c r="H50" s="590"/>
      <c r="I50" s="590"/>
      <c r="J50" s="590"/>
      <c r="K50" s="590"/>
      <c r="L50" s="591"/>
      <c r="M50" s="325"/>
      <c r="N50" s="325"/>
      <c r="O50" s="325"/>
      <c r="P50" s="325"/>
      <c r="Q50" s="325"/>
      <c r="R50" s="556" t="s">
        <v>412</v>
      </c>
      <c r="S50" s="558" t="s">
        <v>417</v>
      </c>
    </row>
    <row r="51" spans="2:19" ht="15.75" hidden="1" customHeight="1" thickBot="1" x14ac:dyDescent="0.3">
      <c r="B51" s="585"/>
      <c r="C51" s="592" t="s">
        <v>411</v>
      </c>
      <c r="D51" s="593"/>
      <c r="E51" s="593"/>
      <c r="F51" s="593"/>
      <c r="G51" s="593"/>
      <c r="H51" s="593"/>
      <c r="I51" s="593"/>
      <c r="J51" s="593"/>
      <c r="K51" s="593"/>
      <c r="L51" s="594"/>
      <c r="R51" s="586"/>
      <c r="S51" s="587"/>
    </row>
    <row r="52" spans="2:19" x14ac:dyDescent="0.25">
      <c r="B52" s="583" t="s">
        <v>383</v>
      </c>
      <c r="C52" s="375"/>
      <c r="D52" s="369"/>
      <c r="E52" s="369"/>
      <c r="F52" s="369"/>
      <c r="G52" s="369"/>
      <c r="H52" s="369"/>
      <c r="I52" s="369"/>
      <c r="J52" s="369"/>
      <c r="K52" s="369"/>
      <c r="L52" s="376"/>
      <c r="R52" s="588" t="str">
        <f>IF(S52=0,"",SUM(C53:L53))</f>
        <v/>
      </c>
      <c r="S52" s="589">
        <f>COUNT(C53:L53)</f>
        <v>0</v>
      </c>
    </row>
    <row r="53" spans="2:19" hidden="1" x14ac:dyDescent="0.25">
      <c r="B53" s="575"/>
      <c r="C53" s="377" t="str">
        <f>IF(C52="x",C47,"")</f>
        <v/>
      </c>
      <c r="D53" s="370" t="str">
        <f t="shared" ref="D53:L53" si="7">IF(D52="x",D47,"")</f>
        <v/>
      </c>
      <c r="E53" s="370" t="str">
        <f t="shared" si="7"/>
        <v/>
      </c>
      <c r="F53" s="370" t="str">
        <f t="shared" si="7"/>
        <v/>
      </c>
      <c r="G53" s="370" t="str">
        <f t="shared" si="7"/>
        <v/>
      </c>
      <c r="H53" s="370" t="str">
        <f t="shared" si="7"/>
        <v/>
      </c>
      <c r="I53" s="370" t="str">
        <f t="shared" si="7"/>
        <v/>
      </c>
      <c r="J53" s="370" t="str">
        <f t="shared" si="7"/>
        <v/>
      </c>
      <c r="K53" s="370" t="str">
        <f t="shared" si="7"/>
        <v/>
      </c>
      <c r="L53" s="378" t="str">
        <f t="shared" si="7"/>
        <v/>
      </c>
      <c r="R53" s="588"/>
      <c r="S53" s="589"/>
    </row>
    <row r="54" spans="2:19" x14ac:dyDescent="0.25">
      <c r="B54" s="575" t="s">
        <v>385</v>
      </c>
      <c r="C54" s="379"/>
      <c r="D54" s="371"/>
      <c r="E54" s="371"/>
      <c r="F54" s="371"/>
      <c r="G54" s="371"/>
      <c r="H54" s="371"/>
      <c r="I54" s="371"/>
      <c r="J54" s="371"/>
      <c r="K54" s="371"/>
      <c r="L54" s="380"/>
      <c r="R54" s="588" t="str">
        <f t="shared" ref="R54" si="8">IF(S54=0,"",SUM(C55:L55))</f>
        <v/>
      </c>
      <c r="S54" s="589">
        <f>COUNT(C55:L55)</f>
        <v>0</v>
      </c>
    </row>
    <row r="55" spans="2:19" hidden="1" x14ac:dyDescent="0.25">
      <c r="B55" s="575"/>
      <c r="C55" s="377" t="str">
        <f>IF(C54="x",C47,"")</f>
        <v/>
      </c>
      <c r="D55" s="370" t="str">
        <f t="shared" ref="D55:L55" si="9">IF(D54="x",D47,"")</f>
        <v/>
      </c>
      <c r="E55" s="370" t="str">
        <f t="shared" si="9"/>
        <v/>
      </c>
      <c r="F55" s="370" t="str">
        <f t="shared" si="9"/>
        <v/>
      </c>
      <c r="G55" s="370" t="str">
        <f t="shared" si="9"/>
        <v/>
      </c>
      <c r="H55" s="370" t="str">
        <f t="shared" si="9"/>
        <v/>
      </c>
      <c r="I55" s="370" t="str">
        <f t="shared" si="9"/>
        <v/>
      </c>
      <c r="J55" s="370" t="str">
        <f t="shared" si="9"/>
        <v/>
      </c>
      <c r="K55" s="370" t="str">
        <f t="shared" si="9"/>
        <v/>
      </c>
      <c r="L55" s="378" t="str">
        <f t="shared" si="9"/>
        <v/>
      </c>
      <c r="R55" s="588"/>
      <c r="S55" s="589"/>
    </row>
    <row r="56" spans="2:19" x14ac:dyDescent="0.25">
      <c r="B56" s="575" t="s">
        <v>388</v>
      </c>
      <c r="C56" s="379"/>
      <c r="D56" s="371"/>
      <c r="E56" s="371"/>
      <c r="F56" s="371"/>
      <c r="G56" s="371"/>
      <c r="H56" s="371"/>
      <c r="I56" s="371"/>
      <c r="J56" s="371"/>
      <c r="K56" s="371"/>
      <c r="L56" s="380"/>
      <c r="R56" s="588" t="str">
        <f t="shared" ref="R56" si="10">IF(S56=0,"",SUM(C57:L57))</f>
        <v/>
      </c>
      <c r="S56" s="589">
        <f>COUNT(C57:L57)</f>
        <v>0</v>
      </c>
    </row>
    <row r="57" spans="2:19" hidden="1" x14ac:dyDescent="0.25">
      <c r="B57" s="575"/>
      <c r="C57" s="377" t="str">
        <f>IF(C56="x",C47,"")</f>
        <v/>
      </c>
      <c r="D57" s="370" t="str">
        <f t="shared" ref="D57:L57" si="11">IF(D56="x",D47,"")</f>
        <v/>
      </c>
      <c r="E57" s="370" t="str">
        <f t="shared" si="11"/>
        <v/>
      </c>
      <c r="F57" s="370" t="str">
        <f t="shared" si="11"/>
        <v/>
      </c>
      <c r="G57" s="370" t="str">
        <f t="shared" si="11"/>
        <v/>
      </c>
      <c r="H57" s="370" t="str">
        <f t="shared" si="11"/>
        <v/>
      </c>
      <c r="I57" s="370" t="str">
        <f t="shared" si="11"/>
        <v/>
      </c>
      <c r="J57" s="370" t="str">
        <f t="shared" si="11"/>
        <v/>
      </c>
      <c r="K57" s="370" t="str">
        <f t="shared" si="11"/>
        <v/>
      </c>
      <c r="L57" s="378" t="str">
        <f t="shared" si="11"/>
        <v/>
      </c>
      <c r="R57" s="588"/>
      <c r="S57" s="589"/>
    </row>
    <row r="58" spans="2:19" ht="15.75" thickBot="1" x14ac:dyDescent="0.3">
      <c r="B58" s="575" t="s">
        <v>389</v>
      </c>
      <c r="C58" s="379"/>
      <c r="D58" s="371"/>
      <c r="E58" s="371"/>
      <c r="F58" s="371"/>
      <c r="G58" s="371"/>
      <c r="H58" s="371"/>
      <c r="I58" s="371"/>
      <c r="J58" s="371"/>
      <c r="K58" s="371"/>
      <c r="L58" s="380"/>
      <c r="R58" s="588" t="str">
        <f t="shared" ref="R58" si="12">IF(S58=0,"",SUM(C59:L59))</f>
        <v/>
      </c>
      <c r="S58" s="589">
        <f>COUNT(C59:L59)</f>
        <v>0</v>
      </c>
    </row>
    <row r="59" spans="2:19" ht="15.75" hidden="1" thickBot="1" x14ac:dyDescent="0.3">
      <c r="B59" s="576"/>
      <c r="C59" s="381" t="str">
        <f>IF(C58="x",C47,"")</f>
        <v/>
      </c>
      <c r="D59" s="372" t="str">
        <f t="shared" ref="D59:L59" si="13">IF(D58="x",D47,"")</f>
        <v/>
      </c>
      <c r="E59" s="372" t="str">
        <f t="shared" si="13"/>
        <v/>
      </c>
      <c r="F59" s="372" t="str">
        <f t="shared" si="13"/>
        <v/>
      </c>
      <c r="G59" s="372" t="str">
        <f t="shared" si="13"/>
        <v/>
      </c>
      <c r="H59" s="372" t="str">
        <f t="shared" si="13"/>
        <v/>
      </c>
      <c r="I59" s="372" t="str">
        <f t="shared" si="13"/>
        <v/>
      </c>
      <c r="J59" s="372" t="str">
        <f t="shared" si="13"/>
        <v/>
      </c>
      <c r="K59" s="372" t="str">
        <f t="shared" si="13"/>
        <v/>
      </c>
      <c r="L59" s="382" t="str">
        <f t="shared" si="13"/>
        <v/>
      </c>
      <c r="R59" s="588"/>
      <c r="S59" s="589"/>
    </row>
    <row r="60" spans="2:19" x14ac:dyDescent="0.25">
      <c r="B60" s="577" t="s">
        <v>391</v>
      </c>
      <c r="C60" s="383"/>
      <c r="D60" s="373"/>
      <c r="E60" s="373"/>
      <c r="F60" s="373"/>
      <c r="G60" s="373"/>
      <c r="H60" s="373"/>
      <c r="I60" s="373"/>
      <c r="J60" s="373"/>
      <c r="K60" s="373"/>
      <c r="L60" s="384"/>
      <c r="R60" s="595" t="str">
        <f t="shared" ref="R60" si="14">IF(S60=0,"",SUM(C61:L61))</f>
        <v/>
      </c>
      <c r="S60" s="596">
        <f>COUNT(C61:L61)</f>
        <v>0</v>
      </c>
    </row>
    <row r="61" spans="2:19" hidden="1" x14ac:dyDescent="0.25">
      <c r="B61" s="578"/>
      <c r="C61" s="377" t="str">
        <f>IF(C60="x",C47,"")</f>
        <v/>
      </c>
      <c r="D61" s="370" t="str">
        <f t="shared" ref="D61:L61" si="15">IF(D60="x",D47,"")</f>
        <v/>
      </c>
      <c r="E61" s="370" t="str">
        <f t="shared" si="15"/>
        <v/>
      </c>
      <c r="F61" s="370" t="str">
        <f t="shared" si="15"/>
        <v/>
      </c>
      <c r="G61" s="370" t="str">
        <f t="shared" si="15"/>
        <v/>
      </c>
      <c r="H61" s="370" t="str">
        <f t="shared" si="15"/>
        <v/>
      </c>
      <c r="I61" s="370" t="str">
        <f t="shared" si="15"/>
        <v/>
      </c>
      <c r="J61" s="370" t="str">
        <f t="shared" si="15"/>
        <v/>
      </c>
      <c r="K61" s="370" t="str">
        <f t="shared" si="15"/>
        <v/>
      </c>
      <c r="L61" s="378" t="str">
        <f t="shared" si="15"/>
        <v/>
      </c>
      <c r="R61" s="595"/>
      <c r="S61" s="596"/>
    </row>
    <row r="62" spans="2:19" ht="15.75" thickBot="1" x14ac:dyDescent="0.3">
      <c r="B62" s="578" t="s">
        <v>393</v>
      </c>
      <c r="C62" s="385"/>
      <c r="D62" s="374"/>
      <c r="E62" s="374"/>
      <c r="F62" s="374"/>
      <c r="G62" s="374"/>
      <c r="H62" s="374"/>
      <c r="I62" s="374"/>
      <c r="J62" s="374"/>
      <c r="K62" s="374"/>
      <c r="L62" s="386"/>
      <c r="R62" s="595" t="str">
        <f t="shared" ref="R62" si="16">IF(S62=0,"",SUM(C63:L63))</f>
        <v/>
      </c>
      <c r="S62" s="596">
        <f>COUNT(C63:L63)</f>
        <v>0</v>
      </c>
    </row>
    <row r="63" spans="2:19" ht="15.75" hidden="1" thickBot="1" x14ac:dyDescent="0.3">
      <c r="B63" s="582"/>
      <c r="C63" s="381" t="str">
        <f>IF(C62="x",C47,"")</f>
        <v/>
      </c>
      <c r="D63" s="372" t="str">
        <f t="shared" ref="D63:L63" si="17">IF(D62="x",D47,"")</f>
        <v/>
      </c>
      <c r="E63" s="372" t="str">
        <f t="shared" si="17"/>
        <v/>
      </c>
      <c r="F63" s="372" t="str">
        <f t="shared" si="17"/>
        <v/>
      </c>
      <c r="G63" s="372" t="str">
        <f t="shared" si="17"/>
        <v/>
      </c>
      <c r="H63" s="372" t="str">
        <f t="shared" si="17"/>
        <v/>
      </c>
      <c r="I63" s="372" t="str">
        <f t="shared" si="17"/>
        <v/>
      </c>
      <c r="J63" s="372" t="str">
        <f t="shared" si="17"/>
        <v/>
      </c>
      <c r="K63" s="372" t="str">
        <f t="shared" si="17"/>
        <v/>
      </c>
      <c r="L63" s="382" t="str">
        <f t="shared" si="17"/>
        <v/>
      </c>
      <c r="R63" s="595"/>
      <c r="S63" s="596"/>
    </row>
    <row r="64" spans="2:19" x14ac:dyDescent="0.25">
      <c r="B64" s="583" t="s">
        <v>394</v>
      </c>
      <c r="C64" s="375"/>
      <c r="D64" s="369"/>
      <c r="E64" s="369"/>
      <c r="F64" s="369"/>
      <c r="G64" s="369"/>
      <c r="H64" s="369"/>
      <c r="I64" s="369"/>
      <c r="J64" s="369"/>
      <c r="K64" s="369"/>
      <c r="L64" s="376"/>
      <c r="R64" s="588" t="str">
        <f t="shared" ref="R64" si="18">IF(S64=0,"",SUM(C65:L65))</f>
        <v/>
      </c>
      <c r="S64" s="589">
        <f>COUNT(C65:L65)</f>
        <v>0</v>
      </c>
    </row>
    <row r="65" spans="2:19" hidden="1" x14ac:dyDescent="0.25">
      <c r="B65" s="575"/>
      <c r="C65" s="377" t="str">
        <f>IF(C64="x",C47,"")</f>
        <v/>
      </c>
      <c r="D65" s="370" t="str">
        <f t="shared" ref="D65:L65" si="19">IF(D64="x",D47,"")</f>
        <v/>
      </c>
      <c r="E65" s="370" t="str">
        <f t="shared" si="19"/>
        <v/>
      </c>
      <c r="F65" s="370" t="str">
        <f t="shared" si="19"/>
        <v/>
      </c>
      <c r="G65" s="370" t="str">
        <f t="shared" si="19"/>
        <v/>
      </c>
      <c r="H65" s="370" t="str">
        <f t="shared" si="19"/>
        <v/>
      </c>
      <c r="I65" s="370" t="str">
        <f t="shared" si="19"/>
        <v/>
      </c>
      <c r="J65" s="370" t="str">
        <f t="shared" si="19"/>
        <v/>
      </c>
      <c r="K65" s="370" t="str">
        <f t="shared" si="19"/>
        <v/>
      </c>
      <c r="L65" s="378" t="str">
        <f t="shared" si="19"/>
        <v/>
      </c>
      <c r="R65" s="588"/>
      <c r="S65" s="589"/>
    </row>
    <row r="66" spans="2:19" x14ac:dyDescent="0.25">
      <c r="B66" s="575" t="s">
        <v>395</v>
      </c>
      <c r="C66" s="379"/>
      <c r="D66" s="371"/>
      <c r="E66" s="371"/>
      <c r="F66" s="371"/>
      <c r="G66" s="371"/>
      <c r="H66" s="371"/>
      <c r="I66" s="371"/>
      <c r="J66" s="371"/>
      <c r="K66" s="371"/>
      <c r="L66" s="380"/>
      <c r="R66" s="588" t="str">
        <f t="shared" ref="R66" si="20">IF(S66=0,"",SUM(C67:L67))</f>
        <v/>
      </c>
      <c r="S66" s="589">
        <f>COUNT(C67:L67)</f>
        <v>0</v>
      </c>
    </row>
    <row r="67" spans="2:19" hidden="1" x14ac:dyDescent="0.25">
      <c r="B67" s="575"/>
      <c r="C67" s="377" t="str">
        <f>IF(C66="x",C47,"")</f>
        <v/>
      </c>
      <c r="D67" s="370" t="str">
        <f t="shared" ref="D67:L67" si="21">IF(D66="x",D47,"")</f>
        <v/>
      </c>
      <c r="E67" s="370" t="str">
        <f t="shared" si="21"/>
        <v/>
      </c>
      <c r="F67" s="370" t="str">
        <f t="shared" si="21"/>
        <v/>
      </c>
      <c r="G67" s="370" t="str">
        <f t="shared" si="21"/>
        <v/>
      </c>
      <c r="H67" s="370" t="str">
        <f t="shared" si="21"/>
        <v/>
      </c>
      <c r="I67" s="370" t="str">
        <f t="shared" si="21"/>
        <v/>
      </c>
      <c r="J67" s="370" t="str">
        <f t="shared" si="21"/>
        <v/>
      </c>
      <c r="K67" s="370" t="str">
        <f t="shared" si="21"/>
        <v/>
      </c>
      <c r="L67" s="378" t="str">
        <f t="shared" si="21"/>
        <v/>
      </c>
      <c r="R67" s="588"/>
      <c r="S67" s="589"/>
    </row>
    <row r="68" spans="2:19" ht="15.75" thickBot="1" x14ac:dyDescent="0.3">
      <c r="B68" s="575" t="s">
        <v>396</v>
      </c>
      <c r="C68" s="379"/>
      <c r="D68" s="371"/>
      <c r="E68" s="371"/>
      <c r="F68" s="371"/>
      <c r="G68" s="371"/>
      <c r="H68" s="371"/>
      <c r="I68" s="371"/>
      <c r="J68" s="371"/>
      <c r="K68" s="371"/>
      <c r="L68" s="380"/>
      <c r="R68" s="588" t="str">
        <f t="shared" ref="R68" si="22">IF(S68=0,"",SUM(C69:L69))</f>
        <v/>
      </c>
      <c r="S68" s="589">
        <f>COUNT(C69:L69)</f>
        <v>0</v>
      </c>
    </row>
    <row r="69" spans="2:19" ht="15.75" hidden="1" thickBot="1" x14ac:dyDescent="0.3">
      <c r="B69" s="576"/>
      <c r="C69" s="381" t="str">
        <f>IF(C68="x",C47,"")</f>
        <v/>
      </c>
      <c r="D69" s="372" t="str">
        <f t="shared" ref="D69:L69" si="23">IF(D68="x",D47,"")</f>
        <v/>
      </c>
      <c r="E69" s="372" t="str">
        <f t="shared" si="23"/>
        <v/>
      </c>
      <c r="F69" s="372" t="str">
        <f t="shared" si="23"/>
        <v/>
      </c>
      <c r="G69" s="372" t="str">
        <f t="shared" si="23"/>
        <v/>
      </c>
      <c r="H69" s="372" t="str">
        <f t="shared" si="23"/>
        <v/>
      </c>
      <c r="I69" s="372" t="str">
        <f t="shared" si="23"/>
        <v/>
      </c>
      <c r="J69" s="372" t="str">
        <f t="shared" si="23"/>
        <v/>
      </c>
      <c r="K69" s="372" t="str">
        <f t="shared" si="23"/>
        <v/>
      </c>
      <c r="L69" s="382" t="str">
        <f t="shared" si="23"/>
        <v/>
      </c>
      <c r="R69" s="588"/>
      <c r="S69" s="589"/>
    </row>
    <row r="70" spans="2:19" x14ac:dyDescent="0.25">
      <c r="B70" s="577" t="s">
        <v>397</v>
      </c>
      <c r="C70" s="383"/>
      <c r="D70" s="373"/>
      <c r="E70" s="373"/>
      <c r="F70" s="373"/>
      <c r="G70" s="373"/>
      <c r="H70" s="373"/>
      <c r="I70" s="373"/>
      <c r="J70" s="373"/>
      <c r="K70" s="373"/>
      <c r="L70" s="384"/>
      <c r="R70" s="595" t="str">
        <f t="shared" ref="R70" si="24">IF(S70=0,"",SUM(C71:L71))</f>
        <v/>
      </c>
      <c r="S70" s="596">
        <f>COUNT(C71:L71)</f>
        <v>0</v>
      </c>
    </row>
    <row r="71" spans="2:19" hidden="1" x14ac:dyDescent="0.25">
      <c r="B71" s="578"/>
      <c r="C71" s="377" t="str">
        <f>IF(C70="x",C47,"")</f>
        <v/>
      </c>
      <c r="D71" s="370" t="str">
        <f t="shared" ref="D71:L71" si="25">IF(D70="x",D47,"")</f>
        <v/>
      </c>
      <c r="E71" s="370" t="str">
        <f t="shared" si="25"/>
        <v/>
      </c>
      <c r="F71" s="370" t="str">
        <f t="shared" si="25"/>
        <v/>
      </c>
      <c r="G71" s="370" t="str">
        <f t="shared" si="25"/>
        <v/>
      </c>
      <c r="H71" s="370" t="str">
        <f t="shared" si="25"/>
        <v/>
      </c>
      <c r="I71" s="370" t="str">
        <f t="shared" si="25"/>
        <v/>
      </c>
      <c r="J71" s="370" t="str">
        <f t="shared" si="25"/>
        <v/>
      </c>
      <c r="K71" s="370" t="str">
        <f t="shared" si="25"/>
        <v/>
      </c>
      <c r="L71" s="378" t="str">
        <f t="shared" si="25"/>
        <v/>
      </c>
      <c r="R71" s="595"/>
      <c r="S71" s="596"/>
    </row>
    <row r="72" spans="2:19" ht="15.75" thickBot="1" x14ac:dyDescent="0.3">
      <c r="B72" s="578" t="s">
        <v>398</v>
      </c>
      <c r="C72" s="385"/>
      <c r="D72" s="374"/>
      <c r="E72" s="374"/>
      <c r="F72" s="374"/>
      <c r="G72" s="374"/>
      <c r="H72" s="374"/>
      <c r="I72" s="374"/>
      <c r="J72" s="374"/>
      <c r="K72" s="374"/>
      <c r="L72" s="386"/>
      <c r="R72" s="595" t="str">
        <f t="shared" ref="R72" si="26">IF(S72=0,"",SUM(C73:L73))</f>
        <v/>
      </c>
      <c r="S72" s="596">
        <f>COUNT(C73:L73)</f>
        <v>0</v>
      </c>
    </row>
    <row r="73" spans="2:19" ht="15.75" hidden="1" thickBot="1" x14ac:dyDescent="0.3">
      <c r="B73" s="582"/>
      <c r="C73" s="381" t="str">
        <f>IF(C72="x",C47,"")</f>
        <v/>
      </c>
      <c r="D73" s="372" t="str">
        <f t="shared" ref="D73:L73" si="27">IF(D72="x",D47,"")</f>
        <v/>
      </c>
      <c r="E73" s="372" t="str">
        <f t="shared" si="27"/>
        <v/>
      </c>
      <c r="F73" s="372" t="str">
        <f t="shared" si="27"/>
        <v/>
      </c>
      <c r="G73" s="372" t="str">
        <f t="shared" si="27"/>
        <v/>
      </c>
      <c r="H73" s="372" t="str">
        <f t="shared" si="27"/>
        <v/>
      </c>
      <c r="I73" s="372" t="str">
        <f t="shared" si="27"/>
        <v/>
      </c>
      <c r="J73" s="372" t="str">
        <f t="shared" si="27"/>
        <v/>
      </c>
      <c r="K73" s="372" t="str">
        <f t="shared" si="27"/>
        <v/>
      </c>
      <c r="L73" s="382" t="str">
        <f t="shared" si="27"/>
        <v/>
      </c>
      <c r="R73" s="595"/>
      <c r="S73" s="596"/>
    </row>
    <row r="74" spans="2:19" x14ac:dyDescent="0.25">
      <c r="B74" s="583" t="s">
        <v>399</v>
      </c>
      <c r="C74" s="375"/>
      <c r="D74" s="369"/>
      <c r="E74" s="369"/>
      <c r="F74" s="369"/>
      <c r="G74" s="369"/>
      <c r="H74" s="369"/>
      <c r="I74" s="369"/>
      <c r="J74" s="369"/>
      <c r="K74" s="369"/>
      <c r="L74" s="376"/>
      <c r="R74" s="588" t="str">
        <f t="shared" ref="R74" si="28">IF(S74=0,"",SUM(C75:L75))</f>
        <v/>
      </c>
      <c r="S74" s="589">
        <f>COUNT(C75:L75)</f>
        <v>0</v>
      </c>
    </row>
    <row r="75" spans="2:19" hidden="1" x14ac:dyDescent="0.25">
      <c r="B75" s="575"/>
      <c r="C75" s="377" t="str">
        <f>IF(C74="x",C47,"")</f>
        <v/>
      </c>
      <c r="D75" s="370" t="str">
        <f t="shared" ref="D75:L75" si="29">IF(D74="x",D47,"")</f>
        <v/>
      </c>
      <c r="E75" s="370" t="str">
        <f t="shared" si="29"/>
        <v/>
      </c>
      <c r="F75" s="370" t="str">
        <f t="shared" si="29"/>
        <v/>
      </c>
      <c r="G75" s="370" t="str">
        <f t="shared" si="29"/>
        <v/>
      </c>
      <c r="H75" s="370" t="str">
        <f t="shared" si="29"/>
        <v/>
      </c>
      <c r="I75" s="370" t="str">
        <f t="shared" si="29"/>
        <v/>
      </c>
      <c r="J75" s="370" t="str">
        <f t="shared" si="29"/>
        <v/>
      </c>
      <c r="K75" s="370" t="str">
        <f t="shared" si="29"/>
        <v/>
      </c>
      <c r="L75" s="378" t="str">
        <f t="shared" si="29"/>
        <v/>
      </c>
      <c r="R75" s="588"/>
      <c r="S75" s="589"/>
    </row>
    <row r="76" spans="2:19" ht="15.75" thickBot="1" x14ac:dyDescent="0.3">
      <c r="B76" s="575" t="s">
        <v>400</v>
      </c>
      <c r="C76" s="379"/>
      <c r="D76" s="371"/>
      <c r="E76" s="371"/>
      <c r="F76" s="371"/>
      <c r="G76" s="371"/>
      <c r="H76" s="371"/>
      <c r="I76" s="371"/>
      <c r="J76" s="371"/>
      <c r="K76" s="371"/>
      <c r="L76" s="380"/>
      <c r="R76" s="588" t="str">
        <f t="shared" ref="R76" si="30">IF(S76=0,"",SUM(C77:L77))</f>
        <v/>
      </c>
      <c r="S76" s="589">
        <f>COUNT(C77:L77)</f>
        <v>0</v>
      </c>
    </row>
    <row r="77" spans="2:19" ht="15.75" hidden="1" thickBot="1" x14ac:dyDescent="0.3">
      <c r="B77" s="576"/>
      <c r="C77" s="381" t="str">
        <f>IF(C76="x",C47,"")</f>
        <v/>
      </c>
      <c r="D77" s="372" t="str">
        <f t="shared" ref="D77:L77" si="31">IF(D76="x",D47,"")</f>
        <v/>
      </c>
      <c r="E77" s="372" t="str">
        <f t="shared" si="31"/>
        <v/>
      </c>
      <c r="F77" s="372" t="str">
        <f t="shared" si="31"/>
        <v/>
      </c>
      <c r="G77" s="372" t="str">
        <f t="shared" si="31"/>
        <v/>
      </c>
      <c r="H77" s="372" t="str">
        <f t="shared" si="31"/>
        <v/>
      </c>
      <c r="I77" s="372" t="str">
        <f t="shared" si="31"/>
        <v/>
      </c>
      <c r="J77" s="372" t="str">
        <f t="shared" si="31"/>
        <v/>
      </c>
      <c r="K77" s="372" t="str">
        <f t="shared" si="31"/>
        <v/>
      </c>
      <c r="L77" s="382" t="str">
        <f t="shared" si="31"/>
        <v/>
      </c>
      <c r="R77" s="588"/>
      <c r="S77" s="589"/>
    </row>
    <row r="78" spans="2:19" x14ac:dyDescent="0.25">
      <c r="B78" s="579" t="s">
        <v>401</v>
      </c>
      <c r="C78" s="387"/>
      <c r="D78" s="388"/>
      <c r="E78" s="388"/>
      <c r="F78" s="388"/>
      <c r="G78" s="388"/>
      <c r="H78" s="388"/>
      <c r="I78" s="388"/>
      <c r="J78" s="388"/>
      <c r="K78" s="388"/>
      <c r="L78" s="389"/>
      <c r="R78" s="595" t="str">
        <f t="shared" ref="R78" si="32">IF(S78=0,"",SUM(C79:L79))</f>
        <v/>
      </c>
      <c r="S78" s="596">
        <f>COUNT(C79:L79)</f>
        <v>0</v>
      </c>
    </row>
    <row r="79" spans="2:19" hidden="1" x14ac:dyDescent="0.25">
      <c r="B79" s="580"/>
      <c r="C79" s="390" t="str">
        <f>IF(C78="x",C47,"")</f>
        <v/>
      </c>
      <c r="D79" s="391" t="str">
        <f t="shared" ref="D79:L79" si="33">IF(D78="x",D47,"")</f>
        <v/>
      </c>
      <c r="E79" s="391" t="str">
        <f t="shared" si="33"/>
        <v/>
      </c>
      <c r="F79" s="391" t="str">
        <f t="shared" si="33"/>
        <v/>
      </c>
      <c r="G79" s="391" t="str">
        <f t="shared" si="33"/>
        <v/>
      </c>
      <c r="H79" s="391" t="str">
        <f t="shared" si="33"/>
        <v/>
      </c>
      <c r="I79" s="391" t="str">
        <f t="shared" si="33"/>
        <v/>
      </c>
      <c r="J79" s="391" t="str">
        <f t="shared" si="33"/>
        <v/>
      </c>
      <c r="K79" s="391" t="str">
        <f t="shared" si="33"/>
        <v/>
      </c>
      <c r="L79" s="392" t="str">
        <f t="shared" si="33"/>
        <v/>
      </c>
      <c r="R79" s="595"/>
      <c r="S79" s="596"/>
    </row>
    <row r="80" spans="2:19" x14ac:dyDescent="0.25">
      <c r="B80" s="580" t="s">
        <v>402</v>
      </c>
      <c r="C80" s="393"/>
      <c r="D80" s="394"/>
      <c r="E80" s="394"/>
      <c r="F80" s="394"/>
      <c r="G80" s="394"/>
      <c r="H80" s="394"/>
      <c r="I80" s="394"/>
      <c r="J80" s="394"/>
      <c r="K80" s="394"/>
      <c r="L80" s="395"/>
      <c r="R80" s="595" t="str">
        <f t="shared" ref="R80" si="34">IF(S80=0,"",SUM(C81:L81))</f>
        <v/>
      </c>
      <c r="S80" s="596">
        <f>COUNT(C81:L81)</f>
        <v>0</v>
      </c>
    </row>
    <row r="81" spans="2:19" ht="15.75" hidden="1" thickBot="1" x14ac:dyDescent="0.3">
      <c r="B81" s="581"/>
      <c r="C81" s="292" t="str">
        <f>IF(C80="x",C47,"")</f>
        <v/>
      </c>
      <c r="D81" s="293" t="str">
        <f t="shared" ref="D81:L81" si="35">IF(D80="x",D47,"")</f>
        <v/>
      </c>
      <c r="E81" s="293" t="str">
        <f t="shared" si="35"/>
        <v/>
      </c>
      <c r="F81" s="293" t="str">
        <f t="shared" si="35"/>
        <v/>
      </c>
      <c r="G81" s="293" t="str">
        <f t="shared" si="35"/>
        <v/>
      </c>
      <c r="H81" s="293" t="str">
        <f t="shared" si="35"/>
        <v/>
      </c>
      <c r="I81" s="293" t="str">
        <f t="shared" si="35"/>
        <v/>
      </c>
      <c r="J81" s="293" t="str">
        <f t="shared" si="35"/>
        <v/>
      </c>
      <c r="K81" s="293" t="str">
        <f t="shared" si="35"/>
        <v/>
      </c>
      <c r="L81" s="294" t="str">
        <f t="shared" si="35"/>
        <v/>
      </c>
      <c r="M81" s="326"/>
      <c r="N81" s="326"/>
      <c r="O81" s="326"/>
      <c r="P81" s="326"/>
      <c r="Q81" s="326"/>
      <c r="R81" s="597"/>
      <c r="S81" s="598"/>
    </row>
  </sheetData>
  <mergeCells count="51">
    <mergeCell ref="R78:R79"/>
    <mergeCell ref="S78:S79"/>
    <mergeCell ref="R80:R81"/>
    <mergeCell ref="S80:S81"/>
    <mergeCell ref="R72:R73"/>
    <mergeCell ref="S72:S73"/>
    <mergeCell ref="R74:R75"/>
    <mergeCell ref="S74:S75"/>
    <mergeCell ref="R76:R77"/>
    <mergeCell ref="S76:S77"/>
    <mergeCell ref="R66:R67"/>
    <mergeCell ref="S66:S67"/>
    <mergeCell ref="R68:R69"/>
    <mergeCell ref="S68:S69"/>
    <mergeCell ref="R70:R71"/>
    <mergeCell ref="S70:S71"/>
    <mergeCell ref="R60:R61"/>
    <mergeCell ref="S60:S61"/>
    <mergeCell ref="R62:R63"/>
    <mergeCell ref="S62:S63"/>
    <mergeCell ref="R64:R65"/>
    <mergeCell ref="S64:S65"/>
    <mergeCell ref="R54:R55"/>
    <mergeCell ref="S54:S55"/>
    <mergeCell ref="R56:R57"/>
    <mergeCell ref="S56:S57"/>
    <mergeCell ref="R58:R59"/>
    <mergeCell ref="S58:S59"/>
    <mergeCell ref="A1:A2"/>
    <mergeCell ref="B50:B51"/>
    <mergeCell ref="R50:R51"/>
    <mergeCell ref="S50:S51"/>
    <mergeCell ref="R52:R53"/>
    <mergeCell ref="S52:S53"/>
    <mergeCell ref="C50:L50"/>
    <mergeCell ref="C51:L51"/>
    <mergeCell ref="B52:B53"/>
    <mergeCell ref="B80:B81"/>
    <mergeCell ref="B62:B63"/>
    <mergeCell ref="B64:B65"/>
    <mergeCell ref="B66:B67"/>
    <mergeCell ref="B68:B69"/>
    <mergeCell ref="B70:B71"/>
    <mergeCell ref="B72:B73"/>
    <mergeCell ref="B74:B75"/>
    <mergeCell ref="B76:B77"/>
    <mergeCell ref="B54:B55"/>
    <mergeCell ref="B56:B57"/>
    <mergeCell ref="B58:B59"/>
    <mergeCell ref="B60:B61"/>
    <mergeCell ref="B78:B79"/>
  </mergeCells>
  <pageMargins left="0.7" right="0.7" top="0.75" bottom="0.75" header="0.3" footer="0.3"/>
  <pageSetup paperSize="9" scale="6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7030A0"/>
    <pageSetUpPr fitToPage="1"/>
  </sheetPr>
  <dimension ref="A1:R81"/>
  <sheetViews>
    <sheetView zoomScale="70" zoomScaleNormal="70" workbookViewId="0">
      <selection activeCell="C46" sqref="C46"/>
    </sheetView>
  </sheetViews>
  <sheetFormatPr defaultColWidth="9.140625" defaultRowHeight="15" x14ac:dyDescent="0.25"/>
  <cols>
    <col min="1" max="1" width="44.140625" style="97" customWidth="1"/>
    <col min="2" max="2" width="22.85546875" style="97" customWidth="1"/>
    <col min="3" max="12" width="9.5703125" style="97" customWidth="1"/>
    <col min="13" max="13" width="9.5703125" style="97" hidden="1" customWidth="1"/>
    <col min="14" max="14" width="8.85546875" style="97" hidden="1" customWidth="1"/>
    <col min="15" max="16" width="9.140625" style="97" hidden="1" customWidth="1"/>
    <col min="17" max="17" width="23.85546875" style="97" customWidth="1"/>
    <col min="18" max="18" width="36" style="97" customWidth="1"/>
    <col min="19" max="16384" width="9.140625" style="97"/>
  </cols>
  <sheetData>
    <row r="1" spans="1:18" ht="21" customHeight="1" x14ac:dyDescent="0.25">
      <c r="A1" s="538" t="s">
        <v>287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</row>
    <row r="2" spans="1:18" ht="21" customHeight="1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8" x14ac:dyDescent="0.25">
      <c r="B3" s="130" t="s">
        <v>12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28" t="s">
        <v>280</v>
      </c>
      <c r="R3" s="135" t="s">
        <v>278</v>
      </c>
    </row>
    <row r="4" spans="1:18" x14ac:dyDescent="0.25">
      <c r="A4" s="119" t="s">
        <v>1</v>
      </c>
      <c r="B4" s="119" t="s">
        <v>0</v>
      </c>
      <c r="C4" s="131" t="s">
        <v>70</v>
      </c>
      <c r="D4" s="131" t="s">
        <v>69</v>
      </c>
      <c r="E4" s="131" t="s">
        <v>68</v>
      </c>
      <c r="F4" s="131" t="s">
        <v>67</v>
      </c>
      <c r="G4" s="131" t="s">
        <v>66</v>
      </c>
      <c r="H4" s="131" t="s">
        <v>65</v>
      </c>
      <c r="I4" s="131" t="s">
        <v>64</v>
      </c>
      <c r="J4" s="131" t="s">
        <v>63</v>
      </c>
      <c r="K4" s="131" t="s">
        <v>62</v>
      </c>
      <c r="L4" s="131" t="s">
        <v>61</v>
      </c>
      <c r="M4" s="131" t="s">
        <v>64</v>
      </c>
      <c r="N4" s="131" t="s">
        <v>63</v>
      </c>
      <c r="O4" s="131" t="s">
        <v>62</v>
      </c>
      <c r="P4" s="131" t="s">
        <v>61</v>
      </c>
      <c r="Q4" s="131">
        <f>SUM(C3:P3)</f>
        <v>1</v>
      </c>
      <c r="R4" s="131">
        <v>0</v>
      </c>
    </row>
    <row r="5" spans="1:18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89">
        <f t="shared" ref="Q5:Q44" si="0">SUM(C5:P5)</f>
        <v>0</v>
      </c>
      <c r="R5" s="136">
        <f>(Q5*R$4/Q$4) +'Laboratory Final'!N5</f>
        <v>0</v>
      </c>
    </row>
    <row r="6" spans="1:18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89">
        <f t="shared" si="0"/>
        <v>0</v>
      </c>
      <c r="R6" s="136">
        <f>(Q6*R$4/Q$4) +'Laboratory Final'!N6</f>
        <v>0</v>
      </c>
    </row>
    <row r="7" spans="1:18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89">
        <f t="shared" si="0"/>
        <v>0</v>
      </c>
      <c r="R7" s="136">
        <f>(Q7*R$4/Q$4) +'Laboratory Final'!N7</f>
        <v>0</v>
      </c>
    </row>
    <row r="8" spans="1:18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89">
        <f t="shared" si="0"/>
        <v>0</v>
      </c>
      <c r="R8" s="136">
        <f>(Q8*R$4/Q$4) +'Laboratory Final'!N8</f>
        <v>0</v>
      </c>
    </row>
    <row r="9" spans="1:18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89">
        <f t="shared" si="0"/>
        <v>0</v>
      </c>
      <c r="R9" s="136">
        <f>(Q9*R$4/Q$4) +'Laboratory Final'!N9</f>
        <v>0</v>
      </c>
    </row>
    <row r="10" spans="1:18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89">
        <f t="shared" si="0"/>
        <v>0</v>
      </c>
      <c r="R10" s="136">
        <f>(Q10*R$4/Q$4) +'Laboratory Final'!N10</f>
        <v>0</v>
      </c>
    </row>
    <row r="11" spans="1:18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89">
        <f t="shared" si="0"/>
        <v>0</v>
      </c>
      <c r="R11" s="136">
        <f>(Q11*R$4/Q$4) +'Laboratory Final'!N11</f>
        <v>0</v>
      </c>
    </row>
    <row r="12" spans="1:18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89">
        <f t="shared" si="0"/>
        <v>0</v>
      </c>
      <c r="R12" s="136">
        <f>(Q12*R$4/Q$4) +'Laboratory Final'!N12</f>
        <v>0</v>
      </c>
    </row>
    <row r="13" spans="1:18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89">
        <f t="shared" si="0"/>
        <v>0</v>
      </c>
      <c r="R13" s="136">
        <f>(Q13*R$4/Q$4) +'Laboratory Final'!N13</f>
        <v>0</v>
      </c>
    </row>
    <row r="14" spans="1:18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89">
        <f t="shared" si="0"/>
        <v>0</v>
      </c>
      <c r="R14" s="136">
        <f>(Q14*R$4/Q$4) +'Laboratory Final'!N14</f>
        <v>0</v>
      </c>
    </row>
    <row r="15" spans="1:18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89">
        <f t="shared" si="0"/>
        <v>0</v>
      </c>
      <c r="R15" s="136">
        <f>(Q15*R$4/Q$4) +'Laboratory Final'!N15</f>
        <v>0</v>
      </c>
    </row>
    <row r="16" spans="1:18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89">
        <f t="shared" si="0"/>
        <v>0</v>
      </c>
      <c r="R16" s="136">
        <f>(Q16*R$4/Q$4) +'Laboratory Final'!N16</f>
        <v>0</v>
      </c>
    </row>
    <row r="17" spans="1:18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89">
        <f t="shared" si="0"/>
        <v>0</v>
      </c>
      <c r="R17" s="136">
        <f>(Q17*R$4/Q$4) +'Laboratory Final'!N17</f>
        <v>0</v>
      </c>
    </row>
    <row r="18" spans="1:18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89">
        <f t="shared" si="0"/>
        <v>0</v>
      </c>
      <c r="R18" s="136">
        <f>(Q18*R$4/Q$4) +'Laboratory Final'!N18</f>
        <v>0</v>
      </c>
    </row>
    <row r="19" spans="1:18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89">
        <f t="shared" si="0"/>
        <v>0</v>
      </c>
      <c r="R19" s="136">
        <f>(Q19*R$4/Q$4) +'Laboratory Final'!N19</f>
        <v>0</v>
      </c>
    </row>
    <row r="20" spans="1:18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89">
        <f t="shared" si="0"/>
        <v>0</v>
      </c>
      <c r="R20" s="136">
        <f>(Q20*R$4/Q$4) +'Laboratory Final'!N20</f>
        <v>0</v>
      </c>
    </row>
    <row r="21" spans="1:18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89">
        <f t="shared" si="0"/>
        <v>0</v>
      </c>
      <c r="R21" s="136">
        <f>(Q21*R$4/Q$4) +'Laboratory Final'!N21</f>
        <v>0</v>
      </c>
    </row>
    <row r="22" spans="1:18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89">
        <f t="shared" si="0"/>
        <v>0</v>
      </c>
      <c r="R22" s="136">
        <f>(Q22*R$4/Q$4) +'Laboratory Final'!N22</f>
        <v>0</v>
      </c>
    </row>
    <row r="23" spans="1:18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89">
        <f t="shared" si="0"/>
        <v>0</v>
      </c>
      <c r="R23" s="136">
        <f>(Q23*R$4/Q$4) +'Laboratory Final'!N23</f>
        <v>0</v>
      </c>
    </row>
    <row r="24" spans="1:18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89">
        <f t="shared" si="0"/>
        <v>0</v>
      </c>
      <c r="R24" s="136">
        <f>(Q24*R$4/Q$4) +'Laboratory Final'!N24</f>
        <v>0</v>
      </c>
    </row>
    <row r="25" spans="1:18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89">
        <f t="shared" si="0"/>
        <v>0</v>
      </c>
      <c r="R25" s="136">
        <f>(Q25*R$4/Q$4) +'Laboratory Final'!N25</f>
        <v>0</v>
      </c>
    </row>
    <row r="26" spans="1:18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89">
        <f t="shared" si="0"/>
        <v>0</v>
      </c>
      <c r="R26" s="136">
        <f>(Q26*R$4/Q$4) +'Laboratory Final'!N26</f>
        <v>0</v>
      </c>
    </row>
    <row r="27" spans="1:18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89">
        <f t="shared" si="0"/>
        <v>0</v>
      </c>
      <c r="R27" s="136">
        <f>(Q27*R$4/Q$4) +'Laboratory Final'!N27</f>
        <v>0</v>
      </c>
    </row>
    <row r="28" spans="1:18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89">
        <f t="shared" si="0"/>
        <v>0</v>
      </c>
      <c r="R28" s="136">
        <f>(Q28*R$4/Q$4) +'Laboratory Final'!N28</f>
        <v>0</v>
      </c>
    </row>
    <row r="29" spans="1:18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89">
        <f t="shared" si="0"/>
        <v>0</v>
      </c>
      <c r="R29" s="136">
        <f>(Q29*R$4/Q$4) +'Laboratory Final'!N29</f>
        <v>0</v>
      </c>
    </row>
    <row r="30" spans="1:18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89">
        <f t="shared" si="0"/>
        <v>0</v>
      </c>
      <c r="R30" s="136">
        <f>(Q30*R$4/Q$4) +'Laboratory Final'!N30</f>
        <v>0</v>
      </c>
    </row>
    <row r="31" spans="1:18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89">
        <f t="shared" si="0"/>
        <v>0</v>
      </c>
      <c r="R31" s="136">
        <f>(Q31*R$4/Q$4) +'Laboratory Final'!N31</f>
        <v>0</v>
      </c>
    </row>
    <row r="32" spans="1:18" ht="13.5" customHeight="1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89">
        <f t="shared" si="0"/>
        <v>0</v>
      </c>
      <c r="R32" s="136">
        <f>(Q32*R$4/Q$4) +'Laboratory Final'!N32</f>
        <v>0</v>
      </c>
    </row>
    <row r="33" spans="1:18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89">
        <f t="shared" si="0"/>
        <v>0</v>
      </c>
      <c r="R33" s="136">
        <f>(Q33*R$4/Q$4) +'Laboratory Final'!N33</f>
        <v>0</v>
      </c>
    </row>
    <row r="34" spans="1:18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89">
        <f t="shared" si="0"/>
        <v>0</v>
      </c>
      <c r="R34" s="136">
        <f>(Q34*R$4/Q$4) +'Laboratory Final'!N34</f>
        <v>0</v>
      </c>
    </row>
    <row r="35" spans="1:18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89">
        <f t="shared" si="0"/>
        <v>0</v>
      </c>
      <c r="R35" s="136">
        <f>(Q35*R$4/Q$4) +'Laboratory Final'!N35</f>
        <v>0</v>
      </c>
    </row>
    <row r="36" spans="1:18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89">
        <f t="shared" si="0"/>
        <v>0</v>
      </c>
      <c r="R36" s="136">
        <f>(Q36*R$4/Q$4) +'Laboratory Final'!N36</f>
        <v>0</v>
      </c>
    </row>
    <row r="37" spans="1:18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89">
        <f t="shared" si="0"/>
        <v>0</v>
      </c>
      <c r="R37" s="136">
        <f>(Q37*R$4/Q$4) +'Laboratory Final'!N37</f>
        <v>0</v>
      </c>
    </row>
    <row r="38" spans="1:18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89">
        <f t="shared" si="0"/>
        <v>0</v>
      </c>
      <c r="R38" s="136">
        <f>(Q38*R$4/Q$4) +'Laboratory Final'!N38</f>
        <v>0</v>
      </c>
    </row>
    <row r="39" spans="1:18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89">
        <f t="shared" si="0"/>
        <v>0</v>
      </c>
      <c r="R39" s="136">
        <f>(Q39*R$4/Q$4) +'Laboratory Final'!N39</f>
        <v>0</v>
      </c>
    </row>
    <row r="40" spans="1:18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89">
        <f t="shared" si="0"/>
        <v>0</v>
      </c>
      <c r="R40" s="136">
        <f>(Q40*R$4/Q$4) +'Laboratory Final'!N40</f>
        <v>0</v>
      </c>
    </row>
    <row r="41" spans="1:18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89">
        <f t="shared" si="0"/>
        <v>0</v>
      </c>
      <c r="R41" s="136">
        <f>(Q41*R$4/Q$4) +'Laboratory Final'!N41</f>
        <v>0</v>
      </c>
    </row>
    <row r="42" spans="1:18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89">
        <f t="shared" si="0"/>
        <v>0</v>
      </c>
      <c r="R42" s="136">
        <f>(Q42*R$4/Q$4) +'Laboratory Final'!N42</f>
        <v>0</v>
      </c>
    </row>
    <row r="43" spans="1:18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89">
        <f t="shared" si="0"/>
        <v>0</v>
      </c>
      <c r="R43" s="136">
        <f>(Q43*R$4/Q$4) +'Laboratory Final'!N43</f>
        <v>0</v>
      </c>
    </row>
    <row r="44" spans="1:18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89">
        <f t="shared" si="0"/>
        <v>0</v>
      </c>
      <c r="R44" s="136">
        <f>(Q44*R$4/Q$4) +'Laboratory Final'!N44</f>
        <v>0</v>
      </c>
    </row>
    <row r="45" spans="1:18" x14ac:dyDescent="0.25">
      <c r="B45" s="128" t="s">
        <v>37</v>
      </c>
      <c r="C45" s="137" t="str">
        <f>IF(COUNTBLANK(C5:C44)=40," ",AVERAGE(C5:C44))</f>
        <v xml:space="preserve"> </v>
      </c>
      <c r="D45" s="137" t="str">
        <f t="shared" ref="D45:P45" si="1">IF(COUNTBLANK(D5:D44)=40," ",AVERAGE(D5:D44))</f>
        <v xml:space="preserve"> </v>
      </c>
      <c r="E45" s="137" t="str">
        <f t="shared" si="1"/>
        <v xml:space="preserve"> </v>
      </c>
      <c r="F45" s="137" t="str">
        <f t="shared" si="1"/>
        <v xml:space="preserve"> </v>
      </c>
      <c r="G45" s="137" t="str">
        <f t="shared" si="1"/>
        <v xml:space="preserve"> </v>
      </c>
      <c r="H45" s="137" t="str">
        <f t="shared" si="1"/>
        <v xml:space="preserve"> </v>
      </c>
      <c r="I45" s="137" t="str">
        <f t="shared" si="1"/>
        <v xml:space="preserve"> </v>
      </c>
      <c r="J45" s="137" t="str">
        <f t="shared" si="1"/>
        <v xml:space="preserve"> </v>
      </c>
      <c r="K45" s="137" t="str">
        <f t="shared" si="1"/>
        <v xml:space="preserve"> </v>
      </c>
      <c r="L45" s="137" t="str">
        <f t="shared" si="1"/>
        <v xml:space="preserve"> </v>
      </c>
      <c r="M45" s="137" t="str">
        <f t="shared" si="1"/>
        <v xml:space="preserve"> </v>
      </c>
      <c r="N45" s="137" t="str">
        <f t="shared" si="1"/>
        <v xml:space="preserve"> </v>
      </c>
      <c r="O45" s="137" t="str">
        <f t="shared" si="1"/>
        <v xml:space="preserve"> </v>
      </c>
      <c r="P45" s="137" t="str">
        <f t="shared" si="1"/>
        <v xml:space="preserve"> </v>
      </c>
      <c r="Q45" s="137">
        <f>IF(COUNTBLANK(Q5:Q44)=40," ",AVERAGE(Q5:Q44))</f>
        <v>0</v>
      </c>
      <c r="R45" s="137">
        <f>IF(COUNTBLANK(R5:R44)=40," ",AVERAGE(R5:R44))</f>
        <v>0</v>
      </c>
    </row>
    <row r="46" spans="1:18" x14ac:dyDescent="0.25">
      <c r="B46" s="128" t="s">
        <v>42</v>
      </c>
      <c r="C46" s="5" t="str">
        <f>IF(C45="","",IF(ISERROR(ROUND(C45*10/C3,1))," ",(ROUND(C45*10/C3,1))))</f>
        <v xml:space="preserve"> </v>
      </c>
      <c r="D46" s="5" t="str">
        <f t="shared" ref="D46:P46" si="2">IF(D45="","",IF(ISERROR(ROUND(D45*10/D3,1))," ",(ROUND(D45*10/D3,1))))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 t="str">
        <f t="shared" si="2"/>
        <v xml:space="preserve"> </v>
      </c>
      <c r="N46" s="5" t="str">
        <f t="shared" si="2"/>
        <v xml:space="preserve"> </v>
      </c>
      <c r="O46" s="5" t="str">
        <f t="shared" si="2"/>
        <v xml:space="preserve"> </v>
      </c>
      <c r="P46" s="5" t="str">
        <f t="shared" si="2"/>
        <v xml:space="preserve"> </v>
      </c>
      <c r="Q46" s="5">
        <f>IF(Q45="","",IF(ISERROR(ROUND(Q45*10/Q4,1))," ",(ROUND(Q45*10/Q4,1))))</f>
        <v>0</v>
      </c>
      <c r="R46" s="5" t="str">
        <f>IF(R45="","",IF(ISERROR(ROUND(R45*10/R4,1))," ",(ROUND(R45*10/R4,1))))</f>
        <v xml:space="preserve"> </v>
      </c>
    </row>
    <row r="47" spans="1:18" x14ac:dyDescent="0.25">
      <c r="B47" s="128" t="s">
        <v>377</v>
      </c>
      <c r="C47" s="5">
        <f>COUNTIF(C5:C44,"&gt;="&amp;(0.7*C3))</f>
        <v>0</v>
      </c>
      <c r="D47" s="5">
        <f t="shared" ref="D47:L47" si="3">COUNTIF(D5:D44,"&gt;="&amp;(0.7*D3))</f>
        <v>0</v>
      </c>
      <c r="E47" s="5">
        <f t="shared" si="3"/>
        <v>0</v>
      </c>
      <c r="F47" s="5">
        <f t="shared" si="3"/>
        <v>0</v>
      </c>
      <c r="G47" s="5">
        <f t="shared" si="3"/>
        <v>0</v>
      </c>
      <c r="H47" s="5">
        <f t="shared" si="3"/>
        <v>0</v>
      </c>
      <c r="I47" s="5">
        <f t="shared" si="3"/>
        <v>0</v>
      </c>
      <c r="J47" s="5">
        <f t="shared" si="3"/>
        <v>0</v>
      </c>
      <c r="K47" s="5">
        <f t="shared" si="3"/>
        <v>0</v>
      </c>
      <c r="L47" s="5">
        <f t="shared" si="3"/>
        <v>0</v>
      </c>
      <c r="M47" s="5">
        <f t="shared" ref="M47:P47" si="4">COUNTIF(M5:M44,"&gt;"&amp;(0.75*M3))</f>
        <v>0</v>
      </c>
      <c r="N47" s="5">
        <f t="shared" si="4"/>
        <v>0</v>
      </c>
      <c r="O47" s="5">
        <f t="shared" si="4"/>
        <v>0</v>
      </c>
      <c r="P47" s="5">
        <f t="shared" si="4"/>
        <v>0</v>
      </c>
    </row>
    <row r="48" spans="1:18" ht="15.75" thickBot="1" x14ac:dyDescent="0.3"/>
    <row r="49" spans="2:18" ht="15.75" thickBot="1" x14ac:dyDescent="0.3">
      <c r="C49" s="347" t="str">
        <f>C4</f>
        <v>Lab 1</v>
      </c>
      <c r="D49" s="348" t="str">
        <f t="shared" ref="D49:L49" si="5">D4</f>
        <v>Lab 2</v>
      </c>
      <c r="E49" s="348" t="str">
        <f t="shared" si="5"/>
        <v>Lab 3</v>
      </c>
      <c r="F49" s="348" t="str">
        <f t="shared" si="5"/>
        <v>Lab 4</v>
      </c>
      <c r="G49" s="348" t="str">
        <f t="shared" si="5"/>
        <v>Lab 5</v>
      </c>
      <c r="H49" s="348" t="str">
        <f t="shared" si="5"/>
        <v>Lab 6</v>
      </c>
      <c r="I49" s="348" t="str">
        <f t="shared" si="5"/>
        <v>Lab 7</v>
      </c>
      <c r="J49" s="348" t="str">
        <f t="shared" si="5"/>
        <v>Lab 8</v>
      </c>
      <c r="K49" s="348" t="str">
        <f t="shared" si="5"/>
        <v>Lab 9</v>
      </c>
      <c r="L49" s="349" t="str">
        <f t="shared" si="5"/>
        <v>Lab 10</v>
      </c>
    </row>
    <row r="50" spans="2:18" ht="35.25" customHeight="1" thickBot="1" x14ac:dyDescent="0.3">
      <c r="B50" s="584" t="s">
        <v>420</v>
      </c>
      <c r="C50" s="590" t="s">
        <v>410</v>
      </c>
      <c r="D50" s="590"/>
      <c r="E50" s="590"/>
      <c r="F50" s="590"/>
      <c r="G50" s="590"/>
      <c r="H50" s="590"/>
      <c r="I50" s="590"/>
      <c r="J50" s="590"/>
      <c r="K50" s="590"/>
      <c r="L50" s="591"/>
      <c r="Q50" s="556" t="s">
        <v>412</v>
      </c>
      <c r="R50" s="558" t="s">
        <v>417</v>
      </c>
    </row>
    <row r="51" spans="2:18" ht="15.75" hidden="1" thickBot="1" x14ac:dyDescent="0.3">
      <c r="B51" s="585"/>
      <c r="C51" s="592" t="s">
        <v>411</v>
      </c>
      <c r="D51" s="593"/>
      <c r="E51" s="593"/>
      <c r="F51" s="593"/>
      <c r="G51" s="593"/>
      <c r="H51" s="593"/>
      <c r="I51" s="593"/>
      <c r="J51" s="593"/>
      <c r="K51" s="593"/>
      <c r="L51" s="594"/>
      <c r="Q51" s="586"/>
      <c r="R51" s="587"/>
    </row>
    <row r="52" spans="2:18" x14ac:dyDescent="0.25">
      <c r="B52" s="583" t="s">
        <v>383</v>
      </c>
      <c r="C52" s="375"/>
      <c r="D52" s="369"/>
      <c r="E52" s="369"/>
      <c r="F52" s="369"/>
      <c r="G52" s="369"/>
      <c r="H52" s="369"/>
      <c r="I52" s="369"/>
      <c r="J52" s="369"/>
      <c r="K52" s="369"/>
      <c r="L52" s="376"/>
      <c r="Q52" s="599" t="str">
        <f>IF(R52=0,"",SUM(C53:L53))</f>
        <v/>
      </c>
      <c r="R52" s="563">
        <f>COUNT(C53:L53)</f>
        <v>0</v>
      </c>
    </row>
    <row r="53" spans="2:18" hidden="1" x14ac:dyDescent="0.25">
      <c r="B53" s="575"/>
      <c r="C53" s="377" t="str">
        <f>IF(C52="x",C47,"")</f>
        <v/>
      </c>
      <c r="D53" s="370" t="str">
        <f t="shared" ref="D53:L53" si="6">IF(D52="x",D47,"")</f>
        <v/>
      </c>
      <c r="E53" s="370" t="str">
        <f t="shared" si="6"/>
        <v/>
      </c>
      <c r="F53" s="370" t="str">
        <f t="shared" si="6"/>
        <v/>
      </c>
      <c r="G53" s="370" t="str">
        <f t="shared" si="6"/>
        <v/>
      </c>
      <c r="H53" s="370" t="str">
        <f t="shared" si="6"/>
        <v/>
      </c>
      <c r="I53" s="370" t="str">
        <f t="shared" si="6"/>
        <v/>
      </c>
      <c r="J53" s="370" t="str">
        <f t="shared" si="6"/>
        <v/>
      </c>
      <c r="K53" s="370" t="str">
        <f t="shared" si="6"/>
        <v/>
      </c>
      <c r="L53" s="378" t="str">
        <f t="shared" si="6"/>
        <v/>
      </c>
      <c r="Q53" s="599"/>
      <c r="R53" s="563"/>
    </row>
    <row r="54" spans="2:18" x14ac:dyDescent="0.25">
      <c r="B54" s="575" t="s">
        <v>385</v>
      </c>
      <c r="C54" s="379"/>
      <c r="D54" s="371"/>
      <c r="E54" s="371"/>
      <c r="F54" s="371"/>
      <c r="G54" s="371"/>
      <c r="H54" s="371"/>
      <c r="I54" s="371"/>
      <c r="J54" s="371"/>
      <c r="K54" s="371"/>
      <c r="L54" s="380"/>
      <c r="Q54" s="599" t="str">
        <f t="shared" ref="Q54" si="7">IF(R54=0,"",SUM(C55:L55))</f>
        <v/>
      </c>
      <c r="R54" s="563">
        <f t="shared" ref="R54" si="8">COUNT(C55:L55)</f>
        <v>0</v>
      </c>
    </row>
    <row r="55" spans="2:18" hidden="1" x14ac:dyDescent="0.25">
      <c r="B55" s="575"/>
      <c r="C55" s="377" t="str">
        <f>IF(C54="x",C47,"")</f>
        <v/>
      </c>
      <c r="D55" s="370" t="str">
        <f t="shared" ref="D55:L55" si="9">IF(D54="x",D47,"")</f>
        <v/>
      </c>
      <c r="E55" s="370" t="str">
        <f t="shared" si="9"/>
        <v/>
      </c>
      <c r="F55" s="370" t="str">
        <f t="shared" si="9"/>
        <v/>
      </c>
      <c r="G55" s="370" t="str">
        <f t="shared" si="9"/>
        <v/>
      </c>
      <c r="H55" s="370" t="str">
        <f t="shared" si="9"/>
        <v/>
      </c>
      <c r="I55" s="370" t="str">
        <f t="shared" si="9"/>
        <v/>
      </c>
      <c r="J55" s="370" t="str">
        <f t="shared" si="9"/>
        <v/>
      </c>
      <c r="K55" s="370" t="str">
        <f t="shared" si="9"/>
        <v/>
      </c>
      <c r="L55" s="378" t="str">
        <f t="shared" si="9"/>
        <v/>
      </c>
      <c r="Q55" s="599"/>
      <c r="R55" s="563"/>
    </row>
    <row r="56" spans="2:18" x14ac:dyDescent="0.25">
      <c r="B56" s="575" t="s">
        <v>388</v>
      </c>
      <c r="C56" s="379"/>
      <c r="D56" s="371"/>
      <c r="E56" s="371"/>
      <c r="F56" s="371"/>
      <c r="G56" s="371"/>
      <c r="H56" s="371"/>
      <c r="I56" s="371"/>
      <c r="J56" s="371"/>
      <c r="K56" s="371"/>
      <c r="L56" s="380"/>
      <c r="Q56" s="599" t="str">
        <f t="shared" ref="Q56" si="10">IF(R56=0,"",SUM(C57:L57))</f>
        <v/>
      </c>
      <c r="R56" s="563">
        <f t="shared" ref="R56" si="11">COUNT(C57:L57)</f>
        <v>0</v>
      </c>
    </row>
    <row r="57" spans="2:18" hidden="1" x14ac:dyDescent="0.25">
      <c r="B57" s="575"/>
      <c r="C57" s="377" t="str">
        <f>IF(C56="x",C47,"")</f>
        <v/>
      </c>
      <c r="D57" s="370" t="str">
        <f t="shared" ref="D57:L57" si="12">IF(D56="x",D47,"")</f>
        <v/>
      </c>
      <c r="E57" s="370" t="str">
        <f t="shared" si="12"/>
        <v/>
      </c>
      <c r="F57" s="370" t="str">
        <f t="shared" si="12"/>
        <v/>
      </c>
      <c r="G57" s="370" t="str">
        <f t="shared" si="12"/>
        <v/>
      </c>
      <c r="H57" s="370" t="str">
        <f t="shared" si="12"/>
        <v/>
      </c>
      <c r="I57" s="370" t="str">
        <f t="shared" si="12"/>
        <v/>
      </c>
      <c r="J57" s="370" t="str">
        <f t="shared" si="12"/>
        <v/>
      </c>
      <c r="K57" s="370" t="str">
        <f t="shared" si="12"/>
        <v/>
      </c>
      <c r="L57" s="378" t="str">
        <f t="shared" si="12"/>
        <v/>
      </c>
      <c r="Q57" s="599"/>
      <c r="R57" s="563"/>
    </row>
    <row r="58" spans="2:18" ht="15.75" thickBot="1" x14ac:dyDescent="0.3">
      <c r="B58" s="575" t="s">
        <v>389</v>
      </c>
      <c r="C58" s="379"/>
      <c r="D58" s="371"/>
      <c r="E58" s="371"/>
      <c r="F58" s="371"/>
      <c r="G58" s="371"/>
      <c r="H58" s="371"/>
      <c r="I58" s="371"/>
      <c r="J58" s="371"/>
      <c r="K58" s="371"/>
      <c r="L58" s="380"/>
      <c r="Q58" s="599" t="str">
        <f t="shared" ref="Q58" si="13">IF(R58=0,"",SUM(C59:L59))</f>
        <v/>
      </c>
      <c r="R58" s="563">
        <f t="shared" ref="R58" si="14">COUNT(C59:L59)</f>
        <v>0</v>
      </c>
    </row>
    <row r="59" spans="2:18" ht="15.75" hidden="1" thickBot="1" x14ac:dyDescent="0.3">
      <c r="B59" s="576"/>
      <c r="C59" s="381" t="str">
        <f>IF(C58="x",C47,"")</f>
        <v/>
      </c>
      <c r="D59" s="372" t="str">
        <f t="shared" ref="D59:L59" si="15">IF(D58="x",D47,"")</f>
        <v/>
      </c>
      <c r="E59" s="372" t="str">
        <f t="shared" si="15"/>
        <v/>
      </c>
      <c r="F59" s="372" t="str">
        <f t="shared" si="15"/>
        <v/>
      </c>
      <c r="G59" s="372" t="str">
        <f t="shared" si="15"/>
        <v/>
      </c>
      <c r="H59" s="372" t="str">
        <f t="shared" si="15"/>
        <v/>
      </c>
      <c r="I59" s="372" t="str">
        <f t="shared" si="15"/>
        <v/>
      </c>
      <c r="J59" s="372" t="str">
        <f t="shared" si="15"/>
        <v/>
      </c>
      <c r="K59" s="372" t="str">
        <f t="shared" si="15"/>
        <v/>
      </c>
      <c r="L59" s="382" t="str">
        <f t="shared" si="15"/>
        <v/>
      </c>
      <c r="Q59" s="599"/>
      <c r="R59" s="563"/>
    </row>
    <row r="60" spans="2:18" x14ac:dyDescent="0.25">
      <c r="B60" s="577" t="s">
        <v>391</v>
      </c>
      <c r="C60" s="383"/>
      <c r="D60" s="373"/>
      <c r="E60" s="373"/>
      <c r="F60" s="373"/>
      <c r="G60" s="373"/>
      <c r="H60" s="373"/>
      <c r="I60" s="373"/>
      <c r="J60" s="373"/>
      <c r="K60" s="373"/>
      <c r="L60" s="384"/>
      <c r="Q60" s="600" t="str">
        <f t="shared" ref="Q60" si="16">IF(R60=0,"",SUM(C61:L61))</f>
        <v/>
      </c>
      <c r="R60" s="569">
        <f t="shared" ref="R60" si="17">COUNT(C61:L61)</f>
        <v>0</v>
      </c>
    </row>
    <row r="61" spans="2:18" hidden="1" x14ac:dyDescent="0.25">
      <c r="B61" s="578"/>
      <c r="C61" s="377" t="str">
        <f>IF(C60="x",C47,"")</f>
        <v/>
      </c>
      <c r="D61" s="370" t="str">
        <f t="shared" ref="D61:L61" si="18">IF(D60="x",D47,"")</f>
        <v/>
      </c>
      <c r="E61" s="370" t="str">
        <f t="shared" si="18"/>
        <v/>
      </c>
      <c r="F61" s="370" t="str">
        <f t="shared" si="18"/>
        <v/>
      </c>
      <c r="G61" s="370" t="str">
        <f t="shared" si="18"/>
        <v/>
      </c>
      <c r="H61" s="370" t="str">
        <f t="shared" si="18"/>
        <v/>
      </c>
      <c r="I61" s="370" t="str">
        <f t="shared" si="18"/>
        <v/>
      </c>
      <c r="J61" s="370" t="str">
        <f t="shared" si="18"/>
        <v/>
      </c>
      <c r="K61" s="370" t="str">
        <f t="shared" si="18"/>
        <v/>
      </c>
      <c r="L61" s="378" t="str">
        <f t="shared" si="18"/>
        <v/>
      </c>
      <c r="Q61" s="600"/>
      <c r="R61" s="569"/>
    </row>
    <row r="62" spans="2:18" ht="15.75" thickBot="1" x14ac:dyDescent="0.3">
      <c r="B62" s="578" t="s">
        <v>393</v>
      </c>
      <c r="C62" s="385"/>
      <c r="D62" s="374"/>
      <c r="E62" s="374"/>
      <c r="F62" s="374"/>
      <c r="G62" s="374"/>
      <c r="H62" s="374"/>
      <c r="I62" s="374"/>
      <c r="J62" s="374"/>
      <c r="K62" s="374"/>
      <c r="L62" s="386"/>
      <c r="Q62" s="600" t="str">
        <f t="shared" ref="Q62" si="19">IF(R62=0,"",SUM(C63:L63))</f>
        <v/>
      </c>
      <c r="R62" s="569">
        <f t="shared" ref="R62" si="20">COUNT(C63:L63)</f>
        <v>0</v>
      </c>
    </row>
    <row r="63" spans="2:18" ht="15.75" hidden="1" thickBot="1" x14ac:dyDescent="0.3">
      <c r="B63" s="582"/>
      <c r="C63" s="381" t="str">
        <f>IF(C62="x",C47,"")</f>
        <v/>
      </c>
      <c r="D63" s="372" t="str">
        <f t="shared" ref="D63:L63" si="21">IF(D62="x",D47,"")</f>
        <v/>
      </c>
      <c r="E63" s="372" t="str">
        <f t="shared" si="21"/>
        <v/>
      </c>
      <c r="F63" s="372" t="str">
        <f t="shared" si="21"/>
        <v/>
      </c>
      <c r="G63" s="372" t="str">
        <f t="shared" si="21"/>
        <v/>
      </c>
      <c r="H63" s="372" t="str">
        <f t="shared" si="21"/>
        <v/>
      </c>
      <c r="I63" s="372" t="str">
        <f t="shared" si="21"/>
        <v/>
      </c>
      <c r="J63" s="372" t="str">
        <f t="shared" si="21"/>
        <v/>
      </c>
      <c r="K63" s="372" t="str">
        <f t="shared" si="21"/>
        <v/>
      </c>
      <c r="L63" s="382" t="str">
        <f t="shared" si="21"/>
        <v/>
      </c>
      <c r="Q63" s="600"/>
      <c r="R63" s="569"/>
    </row>
    <row r="64" spans="2:18" x14ac:dyDescent="0.25">
      <c r="B64" s="583" t="s">
        <v>394</v>
      </c>
      <c r="C64" s="375"/>
      <c r="D64" s="369"/>
      <c r="E64" s="369"/>
      <c r="F64" s="369"/>
      <c r="G64" s="369"/>
      <c r="H64" s="369"/>
      <c r="I64" s="369"/>
      <c r="J64" s="369"/>
      <c r="K64" s="369"/>
      <c r="L64" s="376"/>
      <c r="Q64" s="599" t="str">
        <f t="shared" ref="Q64" si="22">IF(R64=0,"",SUM(C65:L65))</f>
        <v/>
      </c>
      <c r="R64" s="563">
        <f t="shared" ref="R64" si="23">COUNT(C65:L65)</f>
        <v>0</v>
      </c>
    </row>
    <row r="65" spans="2:18" hidden="1" x14ac:dyDescent="0.25">
      <c r="B65" s="575"/>
      <c r="C65" s="377" t="str">
        <f>IF(C64="x",C47,"")</f>
        <v/>
      </c>
      <c r="D65" s="370" t="str">
        <f t="shared" ref="D65:L65" si="24">IF(D64="x",D47,"")</f>
        <v/>
      </c>
      <c r="E65" s="370" t="str">
        <f t="shared" si="24"/>
        <v/>
      </c>
      <c r="F65" s="370" t="str">
        <f t="shared" si="24"/>
        <v/>
      </c>
      <c r="G65" s="370" t="str">
        <f t="shared" si="24"/>
        <v/>
      </c>
      <c r="H65" s="370" t="str">
        <f t="shared" si="24"/>
        <v/>
      </c>
      <c r="I65" s="370" t="str">
        <f t="shared" si="24"/>
        <v/>
      </c>
      <c r="J65" s="370" t="str">
        <f t="shared" si="24"/>
        <v/>
      </c>
      <c r="K65" s="370" t="str">
        <f t="shared" si="24"/>
        <v/>
      </c>
      <c r="L65" s="378" t="str">
        <f t="shared" si="24"/>
        <v/>
      </c>
      <c r="Q65" s="599"/>
      <c r="R65" s="563"/>
    </row>
    <row r="66" spans="2:18" x14ac:dyDescent="0.25">
      <c r="B66" s="575" t="s">
        <v>395</v>
      </c>
      <c r="C66" s="379"/>
      <c r="D66" s="371"/>
      <c r="E66" s="371"/>
      <c r="F66" s="371"/>
      <c r="G66" s="371"/>
      <c r="H66" s="371"/>
      <c r="I66" s="371"/>
      <c r="J66" s="371"/>
      <c r="K66" s="371"/>
      <c r="L66" s="380"/>
      <c r="Q66" s="599" t="str">
        <f t="shared" ref="Q66" si="25">IF(R66=0,"",SUM(C67:L67))</f>
        <v/>
      </c>
      <c r="R66" s="563">
        <f t="shared" ref="R66" si="26">COUNT(C67:L67)</f>
        <v>0</v>
      </c>
    </row>
    <row r="67" spans="2:18" hidden="1" x14ac:dyDescent="0.25">
      <c r="B67" s="575"/>
      <c r="C67" s="377" t="str">
        <f>IF(C66="x",C47,"")</f>
        <v/>
      </c>
      <c r="D67" s="370" t="str">
        <f t="shared" ref="D67:L67" si="27">IF(D66="x",D47,"")</f>
        <v/>
      </c>
      <c r="E67" s="370" t="str">
        <f t="shared" si="27"/>
        <v/>
      </c>
      <c r="F67" s="370" t="str">
        <f t="shared" si="27"/>
        <v/>
      </c>
      <c r="G67" s="370" t="str">
        <f t="shared" si="27"/>
        <v/>
      </c>
      <c r="H67" s="370" t="str">
        <f t="shared" si="27"/>
        <v/>
      </c>
      <c r="I67" s="370" t="str">
        <f t="shared" si="27"/>
        <v/>
      </c>
      <c r="J67" s="370" t="str">
        <f t="shared" si="27"/>
        <v/>
      </c>
      <c r="K67" s="370" t="str">
        <f t="shared" si="27"/>
        <v/>
      </c>
      <c r="L67" s="378" t="str">
        <f t="shared" si="27"/>
        <v/>
      </c>
      <c r="Q67" s="599"/>
      <c r="R67" s="563"/>
    </row>
    <row r="68" spans="2:18" ht="15.75" thickBot="1" x14ac:dyDescent="0.3">
      <c r="B68" s="575" t="s">
        <v>396</v>
      </c>
      <c r="C68" s="379"/>
      <c r="D68" s="371"/>
      <c r="E68" s="371"/>
      <c r="F68" s="371"/>
      <c r="G68" s="371"/>
      <c r="H68" s="371"/>
      <c r="I68" s="371"/>
      <c r="J68" s="371"/>
      <c r="K68" s="371"/>
      <c r="L68" s="380"/>
      <c r="Q68" s="599" t="str">
        <f t="shared" ref="Q68" si="28">IF(R68=0,"",SUM(C69:L69))</f>
        <v/>
      </c>
      <c r="R68" s="563">
        <f t="shared" ref="R68" si="29">COUNT(C69:L69)</f>
        <v>0</v>
      </c>
    </row>
    <row r="69" spans="2:18" ht="15.75" hidden="1" thickBot="1" x14ac:dyDescent="0.3">
      <c r="B69" s="576"/>
      <c r="C69" s="381" t="str">
        <f>IF(C68="x",C47,"")</f>
        <v/>
      </c>
      <c r="D69" s="372" t="str">
        <f t="shared" ref="D69:L69" si="30">IF(D68="x",D47,"")</f>
        <v/>
      </c>
      <c r="E69" s="372" t="str">
        <f t="shared" si="30"/>
        <v/>
      </c>
      <c r="F69" s="372" t="str">
        <f t="shared" si="30"/>
        <v/>
      </c>
      <c r="G69" s="372" t="str">
        <f t="shared" si="30"/>
        <v/>
      </c>
      <c r="H69" s="372" t="str">
        <f t="shared" si="30"/>
        <v/>
      </c>
      <c r="I69" s="372" t="str">
        <f t="shared" si="30"/>
        <v/>
      </c>
      <c r="J69" s="372" t="str">
        <f t="shared" si="30"/>
        <v/>
      </c>
      <c r="K69" s="372" t="str">
        <f t="shared" si="30"/>
        <v/>
      </c>
      <c r="L69" s="382" t="str">
        <f t="shared" si="30"/>
        <v/>
      </c>
      <c r="Q69" s="599"/>
      <c r="R69" s="563"/>
    </row>
    <row r="70" spans="2:18" x14ac:dyDescent="0.25">
      <c r="B70" s="577" t="s">
        <v>397</v>
      </c>
      <c r="C70" s="383"/>
      <c r="D70" s="373"/>
      <c r="E70" s="373"/>
      <c r="F70" s="373"/>
      <c r="G70" s="373"/>
      <c r="H70" s="373"/>
      <c r="I70" s="373"/>
      <c r="J70" s="373"/>
      <c r="K70" s="373"/>
      <c r="L70" s="384"/>
      <c r="Q70" s="600" t="str">
        <f t="shared" ref="Q70" si="31">IF(R70=0,"",SUM(C71:L71))</f>
        <v/>
      </c>
      <c r="R70" s="569">
        <f t="shared" ref="R70" si="32">COUNT(C71:L71)</f>
        <v>0</v>
      </c>
    </row>
    <row r="71" spans="2:18" hidden="1" x14ac:dyDescent="0.25">
      <c r="B71" s="578"/>
      <c r="C71" s="377" t="str">
        <f>IF(C70="x",C47,"")</f>
        <v/>
      </c>
      <c r="D71" s="370" t="str">
        <f t="shared" ref="D71:L71" si="33">IF(D70="x",D47,"")</f>
        <v/>
      </c>
      <c r="E71" s="370" t="str">
        <f t="shared" si="33"/>
        <v/>
      </c>
      <c r="F71" s="370" t="str">
        <f t="shared" si="33"/>
        <v/>
      </c>
      <c r="G71" s="370" t="str">
        <f t="shared" si="33"/>
        <v/>
      </c>
      <c r="H71" s="370" t="str">
        <f t="shared" si="33"/>
        <v/>
      </c>
      <c r="I71" s="370" t="str">
        <f t="shared" si="33"/>
        <v/>
      </c>
      <c r="J71" s="370" t="str">
        <f t="shared" si="33"/>
        <v/>
      </c>
      <c r="K71" s="370" t="str">
        <f t="shared" si="33"/>
        <v/>
      </c>
      <c r="L71" s="378" t="str">
        <f t="shared" si="33"/>
        <v/>
      </c>
      <c r="Q71" s="600"/>
      <c r="R71" s="569"/>
    </row>
    <row r="72" spans="2:18" ht="15.75" thickBot="1" x14ac:dyDescent="0.3">
      <c r="B72" s="578" t="s">
        <v>398</v>
      </c>
      <c r="C72" s="385"/>
      <c r="D72" s="374"/>
      <c r="E72" s="374"/>
      <c r="F72" s="374"/>
      <c r="G72" s="374"/>
      <c r="H72" s="374"/>
      <c r="I72" s="374"/>
      <c r="J72" s="374"/>
      <c r="K72" s="374"/>
      <c r="L72" s="386"/>
      <c r="Q72" s="600" t="str">
        <f t="shared" ref="Q72" si="34">IF(R72=0,"",SUM(C73:L73))</f>
        <v/>
      </c>
      <c r="R72" s="569">
        <f t="shared" ref="R72" si="35">COUNT(C73:L73)</f>
        <v>0</v>
      </c>
    </row>
    <row r="73" spans="2:18" ht="15.75" hidden="1" thickBot="1" x14ac:dyDescent="0.3">
      <c r="B73" s="582"/>
      <c r="C73" s="381" t="str">
        <f>IF(C72="x",C47,"")</f>
        <v/>
      </c>
      <c r="D73" s="372" t="str">
        <f t="shared" ref="D73:L73" si="36">IF(D72="x",D47,"")</f>
        <v/>
      </c>
      <c r="E73" s="372" t="str">
        <f t="shared" si="36"/>
        <v/>
      </c>
      <c r="F73" s="372" t="str">
        <f t="shared" si="36"/>
        <v/>
      </c>
      <c r="G73" s="372" t="str">
        <f t="shared" si="36"/>
        <v/>
      </c>
      <c r="H73" s="372" t="str">
        <f t="shared" si="36"/>
        <v/>
      </c>
      <c r="I73" s="372" t="str">
        <f t="shared" si="36"/>
        <v/>
      </c>
      <c r="J73" s="372" t="str">
        <f t="shared" si="36"/>
        <v/>
      </c>
      <c r="K73" s="372" t="str">
        <f t="shared" si="36"/>
        <v/>
      </c>
      <c r="L73" s="382" t="str">
        <f t="shared" si="36"/>
        <v/>
      </c>
      <c r="Q73" s="600"/>
      <c r="R73" s="569"/>
    </row>
    <row r="74" spans="2:18" x14ac:dyDescent="0.25">
      <c r="B74" s="583" t="s">
        <v>399</v>
      </c>
      <c r="C74" s="375"/>
      <c r="D74" s="369"/>
      <c r="E74" s="369"/>
      <c r="F74" s="369"/>
      <c r="G74" s="369"/>
      <c r="H74" s="369"/>
      <c r="I74" s="369"/>
      <c r="J74" s="369"/>
      <c r="K74" s="369"/>
      <c r="L74" s="376"/>
      <c r="Q74" s="599" t="str">
        <f t="shared" ref="Q74" si="37">IF(R74=0,"",SUM(C75:L75))</f>
        <v/>
      </c>
      <c r="R74" s="563">
        <f t="shared" ref="R74" si="38">COUNT(C75:L75)</f>
        <v>0</v>
      </c>
    </row>
    <row r="75" spans="2:18" hidden="1" x14ac:dyDescent="0.25">
      <c r="B75" s="575"/>
      <c r="C75" s="377" t="str">
        <f>IF(C74="x",C47,"")</f>
        <v/>
      </c>
      <c r="D75" s="370" t="str">
        <f t="shared" ref="D75:L75" si="39">IF(D74="x",D47,"")</f>
        <v/>
      </c>
      <c r="E75" s="370" t="str">
        <f t="shared" si="39"/>
        <v/>
      </c>
      <c r="F75" s="370" t="str">
        <f t="shared" si="39"/>
        <v/>
      </c>
      <c r="G75" s="370" t="str">
        <f t="shared" si="39"/>
        <v/>
      </c>
      <c r="H75" s="370" t="str">
        <f t="shared" si="39"/>
        <v/>
      </c>
      <c r="I75" s="370" t="str">
        <f t="shared" si="39"/>
        <v/>
      </c>
      <c r="J75" s="370" t="str">
        <f t="shared" si="39"/>
        <v/>
      </c>
      <c r="K75" s="370" t="str">
        <f t="shared" si="39"/>
        <v/>
      </c>
      <c r="L75" s="378" t="str">
        <f t="shared" si="39"/>
        <v/>
      </c>
      <c r="Q75" s="599"/>
      <c r="R75" s="563"/>
    </row>
    <row r="76" spans="2:18" ht="15.75" thickBot="1" x14ac:dyDescent="0.3">
      <c r="B76" s="575" t="s">
        <v>400</v>
      </c>
      <c r="C76" s="379"/>
      <c r="D76" s="371"/>
      <c r="E76" s="371"/>
      <c r="F76" s="371"/>
      <c r="G76" s="371"/>
      <c r="H76" s="371"/>
      <c r="I76" s="371"/>
      <c r="J76" s="371"/>
      <c r="K76" s="371"/>
      <c r="L76" s="380"/>
      <c r="Q76" s="599" t="str">
        <f t="shared" ref="Q76" si="40">IF(R76=0,"",SUM(C77:L77))</f>
        <v/>
      </c>
      <c r="R76" s="563">
        <f t="shared" ref="R76" si="41">COUNT(C77:L77)</f>
        <v>0</v>
      </c>
    </row>
    <row r="77" spans="2:18" ht="15.75" hidden="1" thickBot="1" x14ac:dyDescent="0.3">
      <c r="B77" s="576"/>
      <c r="C77" s="381" t="str">
        <f>IF(C76="x",C47,"")</f>
        <v/>
      </c>
      <c r="D77" s="372" t="str">
        <f t="shared" ref="D77:L77" si="42">IF(D76="x",D47,"")</f>
        <v/>
      </c>
      <c r="E77" s="372" t="str">
        <f t="shared" si="42"/>
        <v/>
      </c>
      <c r="F77" s="372" t="str">
        <f t="shared" si="42"/>
        <v/>
      </c>
      <c r="G77" s="372" t="str">
        <f t="shared" si="42"/>
        <v/>
      </c>
      <c r="H77" s="372" t="str">
        <f t="shared" si="42"/>
        <v/>
      </c>
      <c r="I77" s="372" t="str">
        <f t="shared" si="42"/>
        <v/>
      </c>
      <c r="J77" s="372" t="str">
        <f t="shared" si="42"/>
        <v/>
      </c>
      <c r="K77" s="372" t="str">
        <f t="shared" si="42"/>
        <v/>
      </c>
      <c r="L77" s="382" t="str">
        <f t="shared" si="42"/>
        <v/>
      </c>
      <c r="Q77" s="599"/>
      <c r="R77" s="563"/>
    </row>
    <row r="78" spans="2:18" x14ac:dyDescent="0.25">
      <c r="B78" s="579" t="s">
        <v>401</v>
      </c>
      <c r="C78" s="387"/>
      <c r="D78" s="388"/>
      <c r="E78" s="388"/>
      <c r="F78" s="388"/>
      <c r="G78" s="388"/>
      <c r="H78" s="388"/>
      <c r="I78" s="388"/>
      <c r="J78" s="388"/>
      <c r="K78" s="388"/>
      <c r="L78" s="389"/>
      <c r="Q78" s="600" t="str">
        <f t="shared" ref="Q78" si="43">IF(R78=0,"",SUM(C79:L79))</f>
        <v/>
      </c>
      <c r="R78" s="569">
        <f t="shared" ref="R78" si="44">COUNT(C79:L79)</f>
        <v>0</v>
      </c>
    </row>
    <row r="79" spans="2:18" hidden="1" x14ac:dyDescent="0.25">
      <c r="B79" s="580"/>
      <c r="C79" s="390" t="str">
        <f>IF(C78="x",C47,"")</f>
        <v/>
      </c>
      <c r="D79" s="391" t="str">
        <f t="shared" ref="D79:L79" si="45">IF(D78="x",D47,"")</f>
        <v/>
      </c>
      <c r="E79" s="391" t="str">
        <f t="shared" si="45"/>
        <v/>
      </c>
      <c r="F79" s="391" t="str">
        <f t="shared" si="45"/>
        <v/>
      </c>
      <c r="G79" s="391" t="str">
        <f t="shared" si="45"/>
        <v/>
      </c>
      <c r="H79" s="391" t="str">
        <f t="shared" si="45"/>
        <v/>
      </c>
      <c r="I79" s="391" t="str">
        <f t="shared" si="45"/>
        <v/>
      </c>
      <c r="J79" s="391" t="str">
        <f t="shared" si="45"/>
        <v/>
      </c>
      <c r="K79" s="391" t="str">
        <f t="shared" si="45"/>
        <v/>
      </c>
      <c r="L79" s="392" t="str">
        <f t="shared" si="45"/>
        <v/>
      </c>
      <c r="Q79" s="600"/>
      <c r="R79" s="569"/>
    </row>
    <row r="80" spans="2:18" x14ac:dyDescent="0.25">
      <c r="B80" s="580" t="s">
        <v>402</v>
      </c>
      <c r="C80" s="393"/>
      <c r="D80" s="394"/>
      <c r="E80" s="394"/>
      <c r="F80" s="394"/>
      <c r="G80" s="394"/>
      <c r="H80" s="394"/>
      <c r="I80" s="394"/>
      <c r="J80" s="394"/>
      <c r="K80" s="394"/>
      <c r="L80" s="395"/>
      <c r="Q80" s="600" t="str">
        <f t="shared" ref="Q80" si="46">IF(R80=0,"",SUM(C81:L81))</f>
        <v/>
      </c>
      <c r="R80" s="569">
        <f t="shared" ref="R80" si="47">COUNT(C81:L81)</f>
        <v>0</v>
      </c>
    </row>
    <row r="81" spans="2:18" ht="15.75" hidden="1" thickBot="1" x14ac:dyDescent="0.3">
      <c r="B81" s="581"/>
      <c r="C81" s="292" t="str">
        <f>IF(C80="x",C47,"")</f>
        <v/>
      </c>
      <c r="D81" s="293" t="str">
        <f t="shared" ref="D81:L81" si="48">IF(D80="x",D47,"")</f>
        <v/>
      </c>
      <c r="E81" s="293" t="str">
        <f t="shared" si="48"/>
        <v/>
      </c>
      <c r="F81" s="293" t="str">
        <f t="shared" si="48"/>
        <v/>
      </c>
      <c r="G81" s="293" t="str">
        <f t="shared" si="48"/>
        <v/>
      </c>
      <c r="H81" s="293" t="str">
        <f t="shared" si="48"/>
        <v/>
      </c>
      <c r="I81" s="293" t="str">
        <f t="shared" si="48"/>
        <v/>
      </c>
      <c r="J81" s="293" t="str">
        <f t="shared" si="48"/>
        <v/>
      </c>
      <c r="K81" s="293" t="str">
        <f t="shared" si="48"/>
        <v/>
      </c>
      <c r="L81" s="294" t="str">
        <f t="shared" si="48"/>
        <v/>
      </c>
      <c r="Q81" s="600"/>
      <c r="R81" s="569"/>
    </row>
  </sheetData>
  <mergeCells count="51">
    <mergeCell ref="Q80:Q81"/>
    <mergeCell ref="R80:R81"/>
    <mergeCell ref="Q74:Q75"/>
    <mergeCell ref="R74:R75"/>
    <mergeCell ref="Q76:Q77"/>
    <mergeCell ref="R76:R77"/>
    <mergeCell ref="Q78:Q79"/>
    <mergeCell ref="R78:R79"/>
    <mergeCell ref="Q68:Q69"/>
    <mergeCell ref="R68:R69"/>
    <mergeCell ref="Q70:Q71"/>
    <mergeCell ref="R70:R71"/>
    <mergeCell ref="Q72:Q73"/>
    <mergeCell ref="R72:R73"/>
    <mergeCell ref="Q62:Q63"/>
    <mergeCell ref="R62:R63"/>
    <mergeCell ref="Q64:Q65"/>
    <mergeCell ref="R64:R65"/>
    <mergeCell ref="Q66:Q67"/>
    <mergeCell ref="R66:R67"/>
    <mergeCell ref="Q56:Q57"/>
    <mergeCell ref="R56:R57"/>
    <mergeCell ref="Q58:Q59"/>
    <mergeCell ref="R58:R59"/>
    <mergeCell ref="Q60:Q61"/>
    <mergeCell ref="R60:R61"/>
    <mergeCell ref="Q50:Q51"/>
    <mergeCell ref="R50:R51"/>
    <mergeCell ref="Q52:Q53"/>
    <mergeCell ref="R52:R53"/>
    <mergeCell ref="Q54:Q55"/>
    <mergeCell ref="R54:R55"/>
    <mergeCell ref="A1:A2"/>
    <mergeCell ref="B50:B51"/>
    <mergeCell ref="C50:L50"/>
    <mergeCell ref="C51:L51"/>
    <mergeCell ref="B52:B53"/>
    <mergeCell ref="B54:B55"/>
    <mergeCell ref="B56:B57"/>
    <mergeCell ref="B58:B59"/>
    <mergeCell ref="B60:B61"/>
    <mergeCell ref="B62:B63"/>
    <mergeCell ref="B74:B75"/>
    <mergeCell ref="B76:B77"/>
    <mergeCell ref="B78:B79"/>
    <mergeCell ref="B80:B81"/>
    <mergeCell ref="B64:B65"/>
    <mergeCell ref="B66:B67"/>
    <mergeCell ref="B68:B69"/>
    <mergeCell ref="B70:B71"/>
    <mergeCell ref="B72:B73"/>
  </mergeCells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7030A0"/>
    <pageSetUpPr fitToPage="1"/>
  </sheetPr>
  <dimension ref="A1:N46"/>
  <sheetViews>
    <sheetView zoomScale="80" zoomScaleNormal="80" workbookViewId="0">
      <selection activeCell="M1" sqref="M1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9.140625" style="97" customWidth="1"/>
    <col min="4" max="12" width="9.140625" style="97"/>
    <col min="13" max="13" width="28.85546875" style="97" customWidth="1"/>
    <col min="14" max="14" width="24.5703125" style="97" customWidth="1"/>
    <col min="15" max="16384" width="9.140625" style="97"/>
  </cols>
  <sheetData>
    <row r="1" spans="1:14" x14ac:dyDescent="0.25">
      <c r="A1" s="538" t="s">
        <v>288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97" t="s">
        <v>298</v>
      </c>
    </row>
    <row r="2" spans="1:14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94" t="s">
        <v>279</v>
      </c>
      <c r="N2" s="193"/>
    </row>
    <row r="3" spans="1:14" x14ac:dyDescent="0.25">
      <c r="B3" s="129" t="s">
        <v>12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28" t="s">
        <v>39</v>
      </c>
      <c r="N3" s="128" t="s">
        <v>257</v>
      </c>
    </row>
    <row r="4" spans="1:14" x14ac:dyDescent="0.25">
      <c r="A4" s="119" t="s">
        <v>1</v>
      </c>
      <c r="B4" s="119" t="s">
        <v>0</v>
      </c>
      <c r="C4" s="131" t="s">
        <v>267</v>
      </c>
      <c r="D4" s="131" t="s">
        <v>268</v>
      </c>
      <c r="E4" s="131" t="s">
        <v>269</v>
      </c>
      <c r="F4" s="131" t="s">
        <v>270</v>
      </c>
      <c r="G4" s="131" t="s">
        <v>271</v>
      </c>
      <c r="H4" s="131" t="s">
        <v>272</v>
      </c>
      <c r="I4" s="131" t="s">
        <v>273</v>
      </c>
      <c r="J4" s="131" t="s">
        <v>274</v>
      </c>
      <c r="K4" s="131" t="s">
        <v>275</v>
      </c>
      <c r="L4" s="131" t="s">
        <v>276</v>
      </c>
      <c r="M4" s="5">
        <f>SUM(C3:L3)</f>
        <v>1</v>
      </c>
      <c r="N4" s="131">
        <f>(Laboratory!R4 *N2)/100</f>
        <v>0</v>
      </c>
    </row>
    <row r="5" spans="1:14" x14ac:dyDescent="0.25">
      <c r="A5" s="134">
        <f>'Students Names and ID'!B2</f>
        <v>0</v>
      </c>
      <c r="B5" s="134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36">
        <f t="shared" ref="M5:M44" si="0">SUM(C5:L5)</f>
        <v>0</v>
      </c>
      <c r="N5" s="136">
        <f>M5*N4/M4</f>
        <v>0</v>
      </c>
    </row>
    <row r="6" spans="1:14" x14ac:dyDescent="0.25">
      <c r="A6" s="134">
        <f>'Students Names and ID'!B3</f>
        <v>0</v>
      </c>
      <c r="B6" s="134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36">
        <f t="shared" si="0"/>
        <v>0</v>
      </c>
      <c r="N6" s="136">
        <f>M6*N4/M4</f>
        <v>0</v>
      </c>
    </row>
    <row r="7" spans="1:14" x14ac:dyDescent="0.25">
      <c r="A7" s="134">
        <f>'Students Names and ID'!B4</f>
        <v>0</v>
      </c>
      <c r="B7" s="134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36">
        <f t="shared" si="0"/>
        <v>0</v>
      </c>
      <c r="N7" s="136">
        <f>M7*N4/M4</f>
        <v>0</v>
      </c>
    </row>
    <row r="8" spans="1:14" x14ac:dyDescent="0.25">
      <c r="A8" s="134">
        <f>'Students Names and ID'!B5</f>
        <v>0</v>
      </c>
      <c r="B8" s="134">
        <f>'Students Names and ID'!C5</f>
        <v>0</v>
      </c>
      <c r="C8" s="186"/>
      <c r="D8" s="185"/>
      <c r="E8" s="186"/>
      <c r="F8" s="185"/>
      <c r="G8" s="185"/>
      <c r="H8" s="185"/>
      <c r="I8" s="185"/>
      <c r="J8" s="185"/>
      <c r="K8" s="185"/>
      <c r="L8" s="185"/>
      <c r="M8" s="136">
        <f t="shared" si="0"/>
        <v>0</v>
      </c>
      <c r="N8" s="136">
        <f>M8*N4/M4</f>
        <v>0</v>
      </c>
    </row>
    <row r="9" spans="1:14" x14ac:dyDescent="0.25">
      <c r="A9" s="134">
        <f>'Students Names and ID'!B6</f>
        <v>0</v>
      </c>
      <c r="B9" s="134">
        <f>'Students Names and ID'!C6</f>
        <v>0</v>
      </c>
      <c r="C9" s="185"/>
      <c r="D9" s="185"/>
      <c r="E9" s="186"/>
      <c r="F9" s="185"/>
      <c r="G9" s="185"/>
      <c r="H9" s="185"/>
      <c r="I9" s="185"/>
      <c r="J9" s="185"/>
      <c r="K9" s="185"/>
      <c r="L9" s="185"/>
      <c r="M9" s="136">
        <f t="shared" si="0"/>
        <v>0</v>
      </c>
      <c r="N9" s="136">
        <f>M9*N4/M4</f>
        <v>0</v>
      </c>
    </row>
    <row r="10" spans="1:14" x14ac:dyDescent="0.25">
      <c r="A10" s="134">
        <f>'Students Names and ID'!B7</f>
        <v>0</v>
      </c>
      <c r="B10" s="134">
        <f>'Students Names and ID'!C7</f>
        <v>0</v>
      </c>
      <c r="C10" s="185"/>
      <c r="D10" s="186"/>
      <c r="E10" s="185"/>
      <c r="F10" s="185"/>
      <c r="G10" s="185"/>
      <c r="H10" s="185"/>
      <c r="I10" s="185"/>
      <c r="J10" s="185"/>
      <c r="K10" s="185"/>
      <c r="L10" s="185"/>
      <c r="M10" s="136">
        <f t="shared" si="0"/>
        <v>0</v>
      </c>
      <c r="N10" s="136">
        <f>M10*N4/M4</f>
        <v>0</v>
      </c>
    </row>
    <row r="11" spans="1:14" x14ac:dyDescent="0.25">
      <c r="A11" s="134">
        <f>'Students Names and ID'!B8</f>
        <v>0</v>
      </c>
      <c r="B11" s="134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36">
        <f t="shared" si="0"/>
        <v>0</v>
      </c>
      <c r="N11" s="136">
        <f>M11*N4/M4</f>
        <v>0</v>
      </c>
    </row>
    <row r="12" spans="1:14" x14ac:dyDescent="0.25">
      <c r="A12" s="134">
        <f>'Students Names and ID'!B9</f>
        <v>0</v>
      </c>
      <c r="B12" s="134">
        <f>'Students Names and ID'!C9</f>
        <v>0</v>
      </c>
      <c r="C12" s="185"/>
      <c r="D12" s="186"/>
      <c r="E12" s="185"/>
      <c r="F12" s="185"/>
      <c r="G12" s="185"/>
      <c r="H12" s="185"/>
      <c r="I12" s="185"/>
      <c r="J12" s="185"/>
      <c r="K12" s="185"/>
      <c r="L12" s="185"/>
      <c r="M12" s="136">
        <f t="shared" si="0"/>
        <v>0</v>
      </c>
      <c r="N12" s="136">
        <f>M12*N4/M4</f>
        <v>0</v>
      </c>
    </row>
    <row r="13" spans="1:14" x14ac:dyDescent="0.25">
      <c r="A13" s="134">
        <f>'Students Names and ID'!B10</f>
        <v>0</v>
      </c>
      <c r="B13" s="134">
        <f>'Students Names and ID'!C10</f>
        <v>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36">
        <f t="shared" si="0"/>
        <v>0</v>
      </c>
      <c r="N13" s="136">
        <f>M13*N4/M4</f>
        <v>0</v>
      </c>
    </row>
    <row r="14" spans="1:14" x14ac:dyDescent="0.25">
      <c r="A14" s="134">
        <f>'Students Names and ID'!B11</f>
        <v>0</v>
      </c>
      <c r="B14" s="134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36">
        <f t="shared" si="0"/>
        <v>0</v>
      </c>
      <c r="N14" s="136">
        <f>M14*N4/M4</f>
        <v>0</v>
      </c>
    </row>
    <row r="15" spans="1:14" x14ac:dyDescent="0.25">
      <c r="A15" s="134">
        <f>'Students Names and ID'!B12</f>
        <v>0</v>
      </c>
      <c r="B15" s="134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36">
        <f t="shared" si="0"/>
        <v>0</v>
      </c>
      <c r="N15" s="136">
        <f>M15*N4/M4</f>
        <v>0</v>
      </c>
    </row>
    <row r="16" spans="1:14" x14ac:dyDescent="0.25">
      <c r="A16" s="134">
        <f>'Students Names and ID'!B13</f>
        <v>0</v>
      </c>
      <c r="B16" s="134">
        <f>'Students Names and ID'!C13</f>
        <v>0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36">
        <f t="shared" si="0"/>
        <v>0</v>
      </c>
      <c r="N16" s="136">
        <f>M16*N4/M4</f>
        <v>0</v>
      </c>
    </row>
    <row r="17" spans="1:14" x14ac:dyDescent="0.25">
      <c r="A17" s="134">
        <f>'Students Names and ID'!B14</f>
        <v>0</v>
      </c>
      <c r="B17" s="134">
        <f>'Students Names and ID'!C14</f>
        <v>0</v>
      </c>
      <c r="C17" s="185"/>
      <c r="D17" s="185"/>
      <c r="E17" s="186"/>
      <c r="F17" s="185"/>
      <c r="G17" s="185"/>
      <c r="H17" s="185"/>
      <c r="I17" s="185"/>
      <c r="J17" s="185"/>
      <c r="K17" s="185"/>
      <c r="L17" s="185"/>
      <c r="M17" s="136">
        <f t="shared" si="0"/>
        <v>0</v>
      </c>
      <c r="N17" s="136">
        <f>M17*N4/M4</f>
        <v>0</v>
      </c>
    </row>
    <row r="18" spans="1:14" x14ac:dyDescent="0.25">
      <c r="A18" s="134">
        <f>'Students Names and ID'!B15</f>
        <v>0</v>
      </c>
      <c r="B18" s="134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36">
        <f t="shared" si="0"/>
        <v>0</v>
      </c>
      <c r="N18" s="136">
        <f>M18*N4/M4</f>
        <v>0</v>
      </c>
    </row>
    <row r="19" spans="1:14" x14ac:dyDescent="0.25">
      <c r="A19" s="134">
        <f>'Students Names and ID'!B16</f>
        <v>0</v>
      </c>
      <c r="B19" s="134">
        <f>'Students Names and ID'!C16</f>
        <v>0</v>
      </c>
      <c r="C19" s="186"/>
      <c r="D19" s="186"/>
      <c r="E19" s="185"/>
      <c r="F19" s="185"/>
      <c r="G19" s="185"/>
      <c r="H19" s="185"/>
      <c r="I19" s="185"/>
      <c r="J19" s="185"/>
      <c r="K19" s="185"/>
      <c r="L19" s="185"/>
      <c r="M19" s="136">
        <f t="shared" si="0"/>
        <v>0</v>
      </c>
      <c r="N19" s="136">
        <f>M19*N4/M4</f>
        <v>0</v>
      </c>
    </row>
    <row r="20" spans="1:14" x14ac:dyDescent="0.25">
      <c r="A20" s="134">
        <f>'Students Names and ID'!B17</f>
        <v>0</v>
      </c>
      <c r="B20" s="134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36">
        <f t="shared" si="0"/>
        <v>0</v>
      </c>
      <c r="N20" s="136">
        <f>M20*N4/M4</f>
        <v>0</v>
      </c>
    </row>
    <row r="21" spans="1:14" x14ac:dyDescent="0.25">
      <c r="A21" s="134">
        <f>'Students Names and ID'!B18</f>
        <v>0</v>
      </c>
      <c r="B21" s="134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36">
        <f t="shared" si="0"/>
        <v>0</v>
      </c>
      <c r="N21" s="136">
        <f>M21*N4/M4</f>
        <v>0</v>
      </c>
    </row>
    <row r="22" spans="1:14" x14ac:dyDescent="0.25">
      <c r="A22" s="134">
        <f>'Students Names and ID'!B19</f>
        <v>0</v>
      </c>
      <c r="B22" s="134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36">
        <f t="shared" si="0"/>
        <v>0</v>
      </c>
      <c r="N22" s="136">
        <f>M22*N4/M4</f>
        <v>0</v>
      </c>
    </row>
    <row r="23" spans="1:14" x14ac:dyDescent="0.25">
      <c r="A23" s="134">
        <f>'Students Names and ID'!B20</f>
        <v>0</v>
      </c>
      <c r="B23" s="134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36">
        <f t="shared" si="0"/>
        <v>0</v>
      </c>
      <c r="N23" s="136">
        <f>M23*N4/M4</f>
        <v>0</v>
      </c>
    </row>
    <row r="24" spans="1:14" x14ac:dyDescent="0.25">
      <c r="A24" s="134">
        <f>'Students Names and ID'!B21</f>
        <v>0</v>
      </c>
      <c r="B24" s="134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36">
        <f t="shared" si="0"/>
        <v>0</v>
      </c>
      <c r="N24" s="136">
        <f>M24*N4/M4</f>
        <v>0</v>
      </c>
    </row>
    <row r="25" spans="1:14" x14ac:dyDescent="0.25">
      <c r="A25" s="134">
        <f>'Students Names and ID'!B22</f>
        <v>0</v>
      </c>
      <c r="B25" s="134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36">
        <f t="shared" si="0"/>
        <v>0</v>
      </c>
      <c r="N25" s="136">
        <f>M25*N4/M4</f>
        <v>0</v>
      </c>
    </row>
    <row r="26" spans="1:14" x14ac:dyDescent="0.25">
      <c r="A26" s="134">
        <f>'Students Names and ID'!B23</f>
        <v>0</v>
      </c>
      <c r="B26" s="134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36">
        <f t="shared" si="0"/>
        <v>0</v>
      </c>
      <c r="N26" s="136">
        <f>M26*N4/M4</f>
        <v>0</v>
      </c>
    </row>
    <row r="27" spans="1:14" x14ac:dyDescent="0.25">
      <c r="A27" s="134">
        <f>'Students Names and ID'!B24</f>
        <v>0</v>
      </c>
      <c r="B27" s="134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36">
        <f t="shared" si="0"/>
        <v>0</v>
      </c>
      <c r="N27" s="136">
        <f>M27*N4/M4</f>
        <v>0</v>
      </c>
    </row>
    <row r="28" spans="1:14" x14ac:dyDescent="0.25">
      <c r="A28" s="134">
        <f>'Students Names and ID'!B25</f>
        <v>0</v>
      </c>
      <c r="B28" s="134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36">
        <f t="shared" si="0"/>
        <v>0</v>
      </c>
      <c r="N28" s="136">
        <f>M28*N4/M4</f>
        <v>0</v>
      </c>
    </row>
    <row r="29" spans="1:14" x14ac:dyDescent="0.25">
      <c r="A29" s="134">
        <f>'Students Names and ID'!B26</f>
        <v>0</v>
      </c>
      <c r="B29" s="134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36">
        <f t="shared" si="0"/>
        <v>0</v>
      </c>
      <c r="N29" s="136">
        <f>M29*N4/M4</f>
        <v>0</v>
      </c>
    </row>
    <row r="30" spans="1:14" x14ac:dyDescent="0.25">
      <c r="A30" s="134">
        <f>'Students Names and ID'!B27</f>
        <v>0</v>
      </c>
      <c r="B30" s="134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36">
        <f t="shared" si="0"/>
        <v>0</v>
      </c>
      <c r="N30" s="136">
        <f>M30*N4/M4</f>
        <v>0</v>
      </c>
    </row>
    <row r="31" spans="1:14" x14ac:dyDescent="0.25">
      <c r="A31" s="134">
        <f>'Students Names and ID'!B28</f>
        <v>0</v>
      </c>
      <c r="B31" s="134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36">
        <f t="shared" si="0"/>
        <v>0</v>
      </c>
      <c r="N31" s="136">
        <f>M31*N4/M4</f>
        <v>0</v>
      </c>
    </row>
    <row r="32" spans="1:14" x14ac:dyDescent="0.25">
      <c r="A32" s="134">
        <f>'Students Names and ID'!B29</f>
        <v>0</v>
      </c>
      <c r="B32" s="134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36">
        <f t="shared" si="0"/>
        <v>0</v>
      </c>
      <c r="N32" s="136">
        <f>M32*N4/M4</f>
        <v>0</v>
      </c>
    </row>
    <row r="33" spans="1:14" x14ac:dyDescent="0.25">
      <c r="A33" s="134">
        <f>'Students Names and ID'!B30</f>
        <v>0</v>
      </c>
      <c r="B33" s="134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36">
        <f t="shared" si="0"/>
        <v>0</v>
      </c>
      <c r="N33" s="136">
        <f>M33*N4/M4</f>
        <v>0</v>
      </c>
    </row>
    <row r="34" spans="1:14" x14ac:dyDescent="0.25">
      <c r="A34" s="134">
        <f>'Students Names and ID'!B31</f>
        <v>0</v>
      </c>
      <c r="B34" s="134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36">
        <f t="shared" si="0"/>
        <v>0</v>
      </c>
      <c r="N34" s="136">
        <f>M34*N4/M4</f>
        <v>0</v>
      </c>
    </row>
    <row r="35" spans="1:14" x14ac:dyDescent="0.25">
      <c r="A35" s="134">
        <f>'Students Names and ID'!B32</f>
        <v>0</v>
      </c>
      <c r="B35" s="134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36">
        <f t="shared" si="0"/>
        <v>0</v>
      </c>
      <c r="N35" s="136">
        <f>M35*N4/M4</f>
        <v>0</v>
      </c>
    </row>
    <row r="36" spans="1:14" x14ac:dyDescent="0.25">
      <c r="A36" s="134">
        <f>'Students Names and ID'!B33</f>
        <v>0</v>
      </c>
      <c r="B36" s="134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36">
        <f t="shared" si="0"/>
        <v>0</v>
      </c>
      <c r="N36" s="136">
        <f>M36*N4/M4</f>
        <v>0</v>
      </c>
    </row>
    <row r="37" spans="1:14" x14ac:dyDescent="0.25">
      <c r="A37" s="134">
        <f>'Students Names and ID'!B34</f>
        <v>0</v>
      </c>
      <c r="B37" s="134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36">
        <f t="shared" si="0"/>
        <v>0</v>
      </c>
      <c r="N37" s="136">
        <f>M37*N4/M4</f>
        <v>0</v>
      </c>
    </row>
    <row r="38" spans="1:14" x14ac:dyDescent="0.25">
      <c r="A38" s="134">
        <f>'Students Names and ID'!B35</f>
        <v>0</v>
      </c>
      <c r="B38" s="134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36">
        <f t="shared" si="0"/>
        <v>0</v>
      </c>
      <c r="N38" s="136">
        <f>M38*N4/M4</f>
        <v>0</v>
      </c>
    </row>
    <row r="39" spans="1:14" x14ac:dyDescent="0.25">
      <c r="A39" s="134">
        <f>'Students Names and ID'!B36</f>
        <v>0</v>
      </c>
      <c r="B39" s="134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36">
        <f t="shared" si="0"/>
        <v>0</v>
      </c>
      <c r="N39" s="136">
        <f>M39*N4/M4</f>
        <v>0</v>
      </c>
    </row>
    <row r="40" spans="1:14" x14ac:dyDescent="0.25">
      <c r="A40" s="134">
        <f>'Students Names and ID'!B37</f>
        <v>0</v>
      </c>
      <c r="B40" s="134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36">
        <f t="shared" si="0"/>
        <v>0</v>
      </c>
      <c r="N40" s="136">
        <f>M40*N4/M4</f>
        <v>0</v>
      </c>
    </row>
    <row r="41" spans="1:14" x14ac:dyDescent="0.25">
      <c r="A41" s="134">
        <f>'Students Names and ID'!B38</f>
        <v>0</v>
      </c>
      <c r="B41" s="134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36">
        <f t="shared" si="0"/>
        <v>0</v>
      </c>
      <c r="N41" s="136">
        <f>M41*N4/M4</f>
        <v>0</v>
      </c>
    </row>
    <row r="42" spans="1:14" x14ac:dyDescent="0.25">
      <c r="A42" s="134">
        <f>'Students Names and ID'!B39</f>
        <v>0</v>
      </c>
      <c r="B42" s="134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36">
        <f t="shared" si="0"/>
        <v>0</v>
      </c>
      <c r="N42" s="136">
        <f>M42*N4/M4</f>
        <v>0</v>
      </c>
    </row>
    <row r="43" spans="1:14" x14ac:dyDescent="0.25">
      <c r="A43" s="134">
        <f>'Students Names and ID'!B40</f>
        <v>0</v>
      </c>
      <c r="B43" s="134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36">
        <f t="shared" si="0"/>
        <v>0</v>
      </c>
      <c r="N43" s="136">
        <f>M43*N4/M4</f>
        <v>0</v>
      </c>
    </row>
    <row r="44" spans="1:14" x14ac:dyDescent="0.25">
      <c r="A44" s="134">
        <f>'Students Names and ID'!B41</f>
        <v>0</v>
      </c>
      <c r="B44" s="134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36">
        <f t="shared" si="0"/>
        <v>0</v>
      </c>
      <c r="N44" s="136">
        <f>M44*N4/M4</f>
        <v>0</v>
      </c>
    </row>
    <row r="45" spans="1:14" x14ac:dyDescent="0.25">
      <c r="B45" s="128" t="s">
        <v>37</v>
      </c>
      <c r="C45" s="5" t="str">
        <f>IF(COUNTBLANK(C5:C44)=40," ",AVERAGE(C5:C44))</f>
        <v xml:space="preserve"> </v>
      </c>
      <c r="D45" s="5" t="str">
        <f>IF(COUNTBLANK(D5:D44)=40," ",AVERAGE(D5:D44))</f>
        <v xml:space="preserve"> </v>
      </c>
      <c r="E45" s="5" t="str">
        <f t="shared" ref="E45:L45" si="1">IF(COUNTBLANK(E5:E44)=40," ",AVERAGE(E5:E44))</f>
        <v xml:space="preserve"> </v>
      </c>
      <c r="F45" s="5" t="str">
        <f t="shared" si="1"/>
        <v xml:space="preserve"> </v>
      </c>
      <c r="G45" s="5" t="str">
        <f t="shared" si="1"/>
        <v xml:space="preserve"> </v>
      </c>
      <c r="H45" s="5" t="str">
        <f t="shared" si="1"/>
        <v xml:space="preserve"> </v>
      </c>
      <c r="I45" s="5" t="str">
        <f t="shared" si="1"/>
        <v xml:space="preserve"> </v>
      </c>
      <c r="J45" s="5" t="str">
        <f t="shared" si="1"/>
        <v xml:space="preserve"> </v>
      </c>
      <c r="K45" s="5" t="str">
        <f t="shared" si="1"/>
        <v xml:space="preserve"> </v>
      </c>
      <c r="L45" s="5" t="str">
        <f t="shared" si="1"/>
        <v xml:space="preserve"> </v>
      </c>
      <c r="M45" s="5">
        <f>IF(COUNTBLANK(M5:M44)=40," ",AVERAGE(M5:M44))</f>
        <v>0</v>
      </c>
      <c r="N45" s="5">
        <f>IF(COUNTBLANK(N5:N44)=40," ",AVERAGE(N5:N44))</f>
        <v>0</v>
      </c>
    </row>
    <row r="46" spans="1:14" x14ac:dyDescent="0.25">
      <c r="B46" s="128" t="s">
        <v>42</v>
      </c>
      <c r="C46" s="5" t="str">
        <f>IF(C45="","",IF(ISERROR(ROUND(C45*10/C3,1))," ",(ROUND(C45*10/C3,1))))</f>
        <v xml:space="preserve"> </v>
      </c>
      <c r="D46" s="5" t="str">
        <f t="shared" ref="D46:L46" si="2">IF(D45="","",IF(ISERROR(ROUND(D45*10/D3,1))," ",(ROUND(D45*10/D3,1))))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>
        <f>IF(M45="","",IF(ISERROR(ROUND(M45*10/M4,1))," ",(ROUND(M45*10/M4,1))))</f>
        <v>0</v>
      </c>
      <c r="N46" s="5" t="str">
        <f>IF(N45="","",IF(ISERROR(ROUND(N45*10/N4,1))," ",(ROUND(N45*10/N4,1))))</f>
        <v xml:space="preserve"> </v>
      </c>
    </row>
  </sheetData>
  <mergeCells count="1">
    <mergeCell ref="A1:A2"/>
  </mergeCells>
  <pageMargins left="0.25" right="0.25" top="0.75" bottom="0.75" header="0.3" footer="0.3"/>
  <pageSetup scale="60" orientation="landscape" r:id="rId1"/>
  <ignoredErrors>
    <ignoredError sqref="C45:D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  <pageSetUpPr fitToPage="1"/>
  </sheetPr>
  <dimension ref="A1:AH81"/>
  <sheetViews>
    <sheetView zoomScale="70" zoomScaleNormal="70" workbookViewId="0">
      <selection activeCell="C47" sqref="C47"/>
    </sheetView>
  </sheetViews>
  <sheetFormatPr defaultColWidth="9.140625" defaultRowHeight="15" x14ac:dyDescent="0.25"/>
  <cols>
    <col min="1" max="1" width="38" style="181" customWidth="1"/>
    <col min="2" max="2" width="18.28515625" style="97" customWidth="1"/>
    <col min="3" max="12" width="7.7109375" style="97" customWidth="1"/>
    <col min="13" max="16" width="4.85546875" style="97" hidden="1" customWidth="1"/>
    <col min="17" max="32" width="4.42578125" style="97" hidden="1" customWidth="1"/>
    <col min="33" max="33" width="13.5703125" style="97" customWidth="1"/>
    <col min="34" max="34" width="17.140625" style="97" customWidth="1"/>
    <col min="35" max="16384" width="9.140625" style="97"/>
  </cols>
  <sheetData>
    <row r="1" spans="1:34" x14ac:dyDescent="0.25">
      <c r="A1" s="538" t="s">
        <v>430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</row>
    <row r="2" spans="1:34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</row>
    <row r="3" spans="1:34" hidden="1" x14ac:dyDescent="0.25">
      <c r="B3" s="128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</row>
    <row r="4" spans="1:34" x14ac:dyDescent="0.25">
      <c r="B4" s="130" t="s">
        <v>118</v>
      </c>
      <c r="C4" s="130">
        <v>1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28" t="s">
        <v>38</v>
      </c>
      <c r="AH4" s="135" t="s">
        <v>257</v>
      </c>
    </row>
    <row r="5" spans="1:34" x14ac:dyDescent="0.25">
      <c r="A5" s="182" t="s">
        <v>1</v>
      </c>
      <c r="B5" s="119" t="s">
        <v>0</v>
      </c>
      <c r="C5" s="131" t="s">
        <v>13</v>
      </c>
      <c r="D5" s="131" t="s">
        <v>14</v>
      </c>
      <c r="E5" s="131" t="s">
        <v>15</v>
      </c>
      <c r="F5" s="131" t="s">
        <v>16</v>
      </c>
      <c r="G5" s="131" t="s">
        <v>17</v>
      </c>
      <c r="H5" s="131" t="s">
        <v>18</v>
      </c>
      <c r="I5" s="131" t="s">
        <v>19</v>
      </c>
      <c r="J5" s="131" t="s">
        <v>20</v>
      </c>
      <c r="K5" s="131" t="s">
        <v>21</v>
      </c>
      <c r="L5" s="131" t="s">
        <v>22</v>
      </c>
      <c r="M5" s="131" t="s">
        <v>81</v>
      </c>
      <c r="N5" s="131" t="s">
        <v>82</v>
      </c>
      <c r="O5" s="131" t="s">
        <v>143</v>
      </c>
      <c r="P5" s="131" t="s">
        <v>83</v>
      </c>
      <c r="Q5" s="131" t="s">
        <v>140</v>
      </c>
      <c r="R5" s="131" t="s">
        <v>141</v>
      </c>
      <c r="S5" s="131" t="s">
        <v>171</v>
      </c>
      <c r="T5" s="131" t="s">
        <v>172</v>
      </c>
      <c r="U5" s="131" t="s">
        <v>142</v>
      </c>
      <c r="V5" s="131" t="s">
        <v>173</v>
      </c>
      <c r="W5" s="131" t="s">
        <v>174</v>
      </c>
      <c r="X5" s="131" t="s">
        <v>175</v>
      </c>
      <c r="Y5" s="131" t="s">
        <v>176</v>
      </c>
      <c r="Z5" s="131" t="s">
        <v>177</v>
      </c>
      <c r="AA5" s="131" t="s">
        <v>178</v>
      </c>
      <c r="AB5" s="131" t="s">
        <v>179</v>
      </c>
      <c r="AC5" s="131" t="s">
        <v>180</v>
      </c>
      <c r="AD5" s="131" t="s">
        <v>181</v>
      </c>
      <c r="AE5" s="131" t="s">
        <v>182</v>
      </c>
      <c r="AF5" s="131" t="s">
        <v>183</v>
      </c>
      <c r="AG5" s="5">
        <f>SUM(C4:AF4)</f>
        <v>1</v>
      </c>
      <c r="AH5" s="131">
        <v>0</v>
      </c>
    </row>
    <row r="6" spans="1:34" x14ac:dyDescent="0.25">
      <c r="A6" s="183">
        <f>'Students Names and ID'!B2</f>
        <v>0</v>
      </c>
      <c r="B6" s="8">
        <f>'Students Names and ID'!C2</f>
        <v>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90">
        <f t="shared" ref="AG6:AG45" si="0">SUM(C6:AF6)</f>
        <v>0</v>
      </c>
      <c r="AH6" s="136">
        <f>AG6*AH$5/AG$5</f>
        <v>0</v>
      </c>
    </row>
    <row r="7" spans="1:34" x14ac:dyDescent="0.25">
      <c r="A7" s="183">
        <f>'Students Names and ID'!B3</f>
        <v>0</v>
      </c>
      <c r="B7" s="8">
        <f>'Students Names and ID'!C3</f>
        <v>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90">
        <f t="shared" si="0"/>
        <v>0</v>
      </c>
      <c r="AH7" s="136">
        <f t="shared" ref="AH7:AH45" si="1">AG7*AH$5/AG$5</f>
        <v>0</v>
      </c>
    </row>
    <row r="8" spans="1:34" x14ac:dyDescent="0.25">
      <c r="A8" s="183">
        <f>'Students Names and ID'!B4</f>
        <v>0</v>
      </c>
      <c r="B8" s="8">
        <f>'Students Names and ID'!C4</f>
        <v>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90">
        <f t="shared" si="0"/>
        <v>0</v>
      </c>
      <c r="AH8" s="136">
        <f t="shared" si="1"/>
        <v>0</v>
      </c>
    </row>
    <row r="9" spans="1:34" x14ac:dyDescent="0.25">
      <c r="A9" s="183">
        <f>'Students Names and ID'!B5</f>
        <v>0</v>
      </c>
      <c r="B9" s="8">
        <f>'Students Names and ID'!C5</f>
        <v>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90">
        <f t="shared" si="0"/>
        <v>0</v>
      </c>
      <c r="AH9" s="136">
        <f t="shared" si="1"/>
        <v>0</v>
      </c>
    </row>
    <row r="10" spans="1:34" x14ac:dyDescent="0.25">
      <c r="A10" s="183">
        <f>'Students Names and ID'!B6</f>
        <v>0</v>
      </c>
      <c r="B10" s="8">
        <f>'Students Names and ID'!C6</f>
        <v>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90">
        <f t="shared" si="0"/>
        <v>0</v>
      </c>
      <c r="AH10" s="136">
        <f t="shared" si="1"/>
        <v>0</v>
      </c>
    </row>
    <row r="11" spans="1:34" x14ac:dyDescent="0.25">
      <c r="A11" s="183">
        <f>'Students Names and ID'!B7</f>
        <v>0</v>
      </c>
      <c r="B11" s="8">
        <f>'Students Names and ID'!C7</f>
        <v>0</v>
      </c>
      <c r="C11" s="133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90">
        <f t="shared" si="0"/>
        <v>0</v>
      </c>
      <c r="AH11" s="136">
        <f t="shared" si="1"/>
        <v>0</v>
      </c>
    </row>
    <row r="12" spans="1:34" x14ac:dyDescent="0.25">
      <c r="A12" s="183">
        <f>'Students Names and ID'!B8</f>
        <v>0</v>
      </c>
      <c r="B12" s="8">
        <f>'Students Names and ID'!C8</f>
        <v>0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90">
        <f t="shared" si="0"/>
        <v>0</v>
      </c>
      <c r="AH12" s="136">
        <f t="shared" si="1"/>
        <v>0</v>
      </c>
    </row>
    <row r="13" spans="1:34" x14ac:dyDescent="0.25">
      <c r="A13" s="183">
        <f>'Students Names and ID'!B9</f>
        <v>0</v>
      </c>
      <c r="B13" s="8">
        <f>'Students Names and ID'!C9</f>
        <v>0</v>
      </c>
      <c r="C13" s="133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90">
        <f t="shared" si="0"/>
        <v>0</v>
      </c>
      <c r="AH13" s="136">
        <f t="shared" si="1"/>
        <v>0</v>
      </c>
    </row>
    <row r="14" spans="1:34" x14ac:dyDescent="0.25">
      <c r="A14" s="183">
        <f>'Students Names and ID'!B10</f>
        <v>0</v>
      </c>
      <c r="B14" s="8">
        <f>'Students Names and ID'!C10</f>
        <v>0</v>
      </c>
      <c r="C14" s="133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90">
        <f t="shared" si="0"/>
        <v>0</v>
      </c>
      <c r="AH14" s="136">
        <f t="shared" si="1"/>
        <v>0</v>
      </c>
    </row>
    <row r="15" spans="1:34" x14ac:dyDescent="0.25">
      <c r="A15" s="183">
        <f>'Students Names and ID'!B11</f>
        <v>0</v>
      </c>
      <c r="B15" s="8">
        <f>'Students Names and ID'!C11</f>
        <v>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90">
        <f t="shared" si="0"/>
        <v>0</v>
      </c>
      <c r="AH15" s="136">
        <f t="shared" si="1"/>
        <v>0</v>
      </c>
    </row>
    <row r="16" spans="1:34" x14ac:dyDescent="0.25">
      <c r="A16" s="183">
        <f>'Students Names and ID'!B12</f>
        <v>0</v>
      </c>
      <c r="B16" s="8">
        <f>'Students Names and ID'!C12</f>
        <v>0</v>
      </c>
      <c r="C16" s="133"/>
      <c r="D16" s="133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90">
        <f t="shared" si="0"/>
        <v>0</v>
      </c>
      <c r="AH16" s="136">
        <f t="shared" si="1"/>
        <v>0</v>
      </c>
    </row>
    <row r="17" spans="1:34" x14ac:dyDescent="0.25">
      <c r="A17" s="183">
        <f>'Students Names and ID'!B13</f>
        <v>0</v>
      </c>
      <c r="B17" s="8">
        <f>'Students Names and ID'!C13</f>
        <v>0</v>
      </c>
      <c r="C17" s="141"/>
      <c r="D17" s="133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90">
        <f t="shared" si="0"/>
        <v>0</v>
      </c>
      <c r="AH17" s="136">
        <f t="shared" si="1"/>
        <v>0</v>
      </c>
    </row>
    <row r="18" spans="1:34" x14ac:dyDescent="0.25">
      <c r="A18" s="183">
        <f>'Students Names and ID'!B14</f>
        <v>0</v>
      </c>
      <c r="B18" s="8">
        <f>'Students Names and ID'!C14</f>
        <v>0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90">
        <f t="shared" si="0"/>
        <v>0</v>
      </c>
      <c r="AH18" s="136">
        <f t="shared" si="1"/>
        <v>0</v>
      </c>
    </row>
    <row r="19" spans="1:34" x14ac:dyDescent="0.25">
      <c r="A19" s="183">
        <f>'Students Names and ID'!B15</f>
        <v>0</v>
      </c>
      <c r="B19" s="8">
        <f>'Students Names and ID'!C15</f>
        <v>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90">
        <f t="shared" si="0"/>
        <v>0</v>
      </c>
      <c r="AH19" s="136">
        <f t="shared" si="1"/>
        <v>0</v>
      </c>
    </row>
    <row r="20" spans="1:34" x14ac:dyDescent="0.25">
      <c r="A20" s="183">
        <f>'Students Names and ID'!B16</f>
        <v>0</v>
      </c>
      <c r="B20" s="8">
        <f>'Students Names and ID'!C16</f>
        <v>0</v>
      </c>
      <c r="C20" s="133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90">
        <f t="shared" si="0"/>
        <v>0</v>
      </c>
      <c r="AH20" s="136">
        <f t="shared" si="1"/>
        <v>0</v>
      </c>
    </row>
    <row r="21" spans="1:34" x14ac:dyDescent="0.25">
      <c r="A21" s="183">
        <f>'Students Names and ID'!B17</f>
        <v>0</v>
      </c>
      <c r="B21" s="8">
        <f>'Students Names and ID'!C17</f>
        <v>0</v>
      </c>
      <c r="C21" s="141"/>
      <c r="D21" s="133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90">
        <f t="shared" si="0"/>
        <v>0</v>
      </c>
      <c r="AH21" s="136">
        <f t="shared" si="1"/>
        <v>0</v>
      </c>
    </row>
    <row r="22" spans="1:34" x14ac:dyDescent="0.25">
      <c r="A22" s="183">
        <f>'Students Names and ID'!B18</f>
        <v>0</v>
      </c>
      <c r="B22" s="8">
        <f>'Students Names and ID'!C18</f>
        <v>0</v>
      </c>
      <c r="C22" s="141"/>
      <c r="D22" s="133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90">
        <f t="shared" si="0"/>
        <v>0</v>
      </c>
      <c r="AH22" s="136">
        <f t="shared" si="1"/>
        <v>0</v>
      </c>
    </row>
    <row r="23" spans="1:34" x14ac:dyDescent="0.25">
      <c r="A23" s="183">
        <f>'Students Names and ID'!B19</f>
        <v>0</v>
      </c>
      <c r="B23" s="8">
        <f>'Students Names and ID'!C19</f>
        <v>0</v>
      </c>
      <c r="C23" s="133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90">
        <f t="shared" si="0"/>
        <v>0</v>
      </c>
      <c r="AH23" s="136">
        <f t="shared" si="1"/>
        <v>0</v>
      </c>
    </row>
    <row r="24" spans="1:34" x14ac:dyDescent="0.25">
      <c r="A24" s="183">
        <f>'Students Names and ID'!B20</f>
        <v>0</v>
      </c>
      <c r="B24" s="8">
        <f>'Students Names and ID'!C20</f>
        <v>0</v>
      </c>
      <c r="C24" s="133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90">
        <f t="shared" si="0"/>
        <v>0</v>
      </c>
      <c r="AH24" s="136">
        <f t="shared" si="1"/>
        <v>0</v>
      </c>
    </row>
    <row r="25" spans="1:34" x14ac:dyDescent="0.25">
      <c r="A25" s="183">
        <f>'Students Names and ID'!B21</f>
        <v>0</v>
      </c>
      <c r="B25" s="8">
        <f>'Students Names and ID'!C21</f>
        <v>0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90">
        <f t="shared" si="0"/>
        <v>0</v>
      </c>
      <c r="AH25" s="136">
        <f t="shared" si="1"/>
        <v>0</v>
      </c>
    </row>
    <row r="26" spans="1:34" x14ac:dyDescent="0.25">
      <c r="A26" s="183">
        <f>'Students Names and ID'!B22</f>
        <v>0</v>
      </c>
      <c r="B26" s="8">
        <f>'Students Names and ID'!C22</f>
        <v>0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90">
        <f t="shared" si="0"/>
        <v>0</v>
      </c>
      <c r="AH26" s="136">
        <f t="shared" si="1"/>
        <v>0</v>
      </c>
    </row>
    <row r="27" spans="1:34" x14ac:dyDescent="0.25">
      <c r="A27" s="183">
        <f>'Students Names and ID'!B23</f>
        <v>0</v>
      </c>
      <c r="B27" s="8">
        <f>'Students Names and ID'!C23</f>
        <v>0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90">
        <f t="shared" si="0"/>
        <v>0</v>
      </c>
      <c r="AH27" s="136">
        <f t="shared" si="1"/>
        <v>0</v>
      </c>
    </row>
    <row r="28" spans="1:34" x14ac:dyDescent="0.25">
      <c r="A28" s="183">
        <f>'Students Names and ID'!B24</f>
        <v>0</v>
      </c>
      <c r="B28" s="8">
        <f>'Students Names and ID'!C24</f>
        <v>0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90">
        <f t="shared" si="0"/>
        <v>0</v>
      </c>
      <c r="AH28" s="136">
        <f t="shared" si="1"/>
        <v>0</v>
      </c>
    </row>
    <row r="29" spans="1:34" x14ac:dyDescent="0.25">
      <c r="A29" s="183">
        <f>'Students Names and ID'!B25</f>
        <v>0</v>
      </c>
      <c r="B29" s="8">
        <f>'Students Names and ID'!C25</f>
        <v>0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90">
        <f t="shared" si="0"/>
        <v>0</v>
      </c>
      <c r="AH29" s="136">
        <f t="shared" si="1"/>
        <v>0</v>
      </c>
    </row>
    <row r="30" spans="1:34" x14ac:dyDescent="0.25">
      <c r="A30" s="183">
        <f>'Students Names and ID'!B26</f>
        <v>0</v>
      </c>
      <c r="B30" s="8">
        <f>'Students Names and ID'!C26</f>
        <v>0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90">
        <f t="shared" si="0"/>
        <v>0</v>
      </c>
      <c r="AH30" s="136">
        <f t="shared" si="1"/>
        <v>0</v>
      </c>
    </row>
    <row r="31" spans="1:34" x14ac:dyDescent="0.25">
      <c r="A31" s="183">
        <f>'Students Names and ID'!B27</f>
        <v>0</v>
      </c>
      <c r="B31" s="8">
        <f>'Students Names and ID'!C27</f>
        <v>0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90">
        <f t="shared" si="0"/>
        <v>0</v>
      </c>
      <c r="AH31" s="136">
        <f t="shared" si="1"/>
        <v>0</v>
      </c>
    </row>
    <row r="32" spans="1:34" x14ac:dyDescent="0.25">
      <c r="A32" s="183">
        <f>'Students Names and ID'!B28</f>
        <v>0</v>
      </c>
      <c r="B32" s="8">
        <f>'Students Names and ID'!C28</f>
        <v>0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90">
        <f t="shared" si="0"/>
        <v>0</v>
      </c>
      <c r="AH32" s="136">
        <f t="shared" si="1"/>
        <v>0</v>
      </c>
    </row>
    <row r="33" spans="1:34" ht="17.25" customHeight="1" x14ac:dyDescent="0.25">
      <c r="A33" s="183">
        <f>'Students Names and ID'!B29</f>
        <v>0</v>
      </c>
      <c r="B33" s="8">
        <f>'Students Names and ID'!C29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90">
        <f t="shared" si="0"/>
        <v>0</v>
      </c>
      <c r="AH33" s="136">
        <f t="shared" si="1"/>
        <v>0</v>
      </c>
    </row>
    <row r="34" spans="1:34" ht="17.25" customHeight="1" x14ac:dyDescent="0.25">
      <c r="A34" s="183">
        <f>'Students Names and ID'!B30</f>
        <v>0</v>
      </c>
      <c r="B34" s="8">
        <f>'Students Names and ID'!C30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90">
        <f t="shared" si="0"/>
        <v>0</v>
      </c>
      <c r="AH34" s="136">
        <f t="shared" si="1"/>
        <v>0</v>
      </c>
    </row>
    <row r="35" spans="1:34" ht="15.75" customHeight="1" x14ac:dyDescent="0.25">
      <c r="A35" s="183">
        <f>'Students Names and ID'!B31</f>
        <v>0</v>
      </c>
      <c r="B35" s="8">
        <f>'Students Names and ID'!C31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90">
        <f t="shared" si="0"/>
        <v>0</v>
      </c>
      <c r="AH35" s="136">
        <f t="shared" si="1"/>
        <v>0</v>
      </c>
    </row>
    <row r="36" spans="1:34" x14ac:dyDescent="0.25">
      <c r="A36" s="183">
        <f>'Students Names and ID'!B32</f>
        <v>0</v>
      </c>
      <c r="B36" s="8">
        <f>'Students Names and ID'!C32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90">
        <f t="shared" si="0"/>
        <v>0</v>
      </c>
      <c r="AH36" s="136">
        <f t="shared" si="1"/>
        <v>0</v>
      </c>
    </row>
    <row r="37" spans="1:34" x14ac:dyDescent="0.25">
      <c r="A37" s="183">
        <f>'Students Names and ID'!B33</f>
        <v>0</v>
      </c>
      <c r="B37" s="8">
        <f>'Students Names and ID'!C33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90">
        <f t="shared" si="0"/>
        <v>0</v>
      </c>
      <c r="AH37" s="136">
        <f t="shared" si="1"/>
        <v>0</v>
      </c>
    </row>
    <row r="38" spans="1:34" x14ac:dyDescent="0.25">
      <c r="A38" s="183">
        <f>'Students Names and ID'!B34</f>
        <v>0</v>
      </c>
      <c r="B38" s="8">
        <f>'Students Names and ID'!C34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90">
        <f t="shared" si="0"/>
        <v>0</v>
      </c>
      <c r="AH38" s="136">
        <f t="shared" si="1"/>
        <v>0</v>
      </c>
    </row>
    <row r="39" spans="1:34" x14ac:dyDescent="0.25">
      <c r="A39" s="183">
        <f>'Students Names and ID'!B35</f>
        <v>0</v>
      </c>
      <c r="B39" s="8">
        <f>'Students Names and ID'!C35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90">
        <f t="shared" si="0"/>
        <v>0</v>
      </c>
      <c r="AH39" s="136">
        <f t="shared" si="1"/>
        <v>0</v>
      </c>
    </row>
    <row r="40" spans="1:34" x14ac:dyDescent="0.25">
      <c r="A40" s="183">
        <f>'Students Names and ID'!B36</f>
        <v>0</v>
      </c>
      <c r="B40" s="8">
        <f>'Students Names and ID'!C36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90">
        <f t="shared" si="0"/>
        <v>0</v>
      </c>
      <c r="AH40" s="136">
        <f t="shared" si="1"/>
        <v>0</v>
      </c>
    </row>
    <row r="41" spans="1:34" x14ac:dyDescent="0.25">
      <c r="A41" s="183">
        <f>'Students Names and ID'!B37</f>
        <v>0</v>
      </c>
      <c r="B41" s="8">
        <f>'Students Names and ID'!C37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90">
        <f t="shared" si="0"/>
        <v>0</v>
      </c>
      <c r="AH41" s="136">
        <f t="shared" si="1"/>
        <v>0</v>
      </c>
    </row>
    <row r="42" spans="1:34" x14ac:dyDescent="0.25">
      <c r="A42" s="183">
        <f>'Students Names and ID'!B38</f>
        <v>0</v>
      </c>
      <c r="B42" s="8">
        <f>'Students Names and ID'!C38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90">
        <f t="shared" si="0"/>
        <v>0</v>
      </c>
      <c r="AH42" s="136">
        <f t="shared" si="1"/>
        <v>0</v>
      </c>
    </row>
    <row r="43" spans="1:34" x14ac:dyDescent="0.25">
      <c r="A43" s="183">
        <f>'Students Names and ID'!B39</f>
        <v>0</v>
      </c>
      <c r="B43" s="8">
        <f>'Students Names and ID'!C39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90">
        <f t="shared" si="0"/>
        <v>0</v>
      </c>
      <c r="AH43" s="136">
        <f t="shared" si="1"/>
        <v>0</v>
      </c>
    </row>
    <row r="44" spans="1:34" x14ac:dyDescent="0.25">
      <c r="A44" s="183">
        <f>'Students Names and ID'!B40</f>
        <v>0</v>
      </c>
      <c r="B44" s="8">
        <f>'Students Names and ID'!C40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90">
        <f t="shared" si="0"/>
        <v>0</v>
      </c>
      <c r="AH44" s="136">
        <f t="shared" si="1"/>
        <v>0</v>
      </c>
    </row>
    <row r="45" spans="1:34" x14ac:dyDescent="0.25">
      <c r="A45" s="183">
        <f>'Students Names and ID'!B41</f>
        <v>0</v>
      </c>
      <c r="B45" s="8">
        <f>'Students Names and ID'!C41</f>
        <v>0</v>
      </c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90">
        <f t="shared" si="0"/>
        <v>0</v>
      </c>
      <c r="AH45" s="136">
        <f t="shared" si="1"/>
        <v>0</v>
      </c>
    </row>
    <row r="46" spans="1:34" x14ac:dyDescent="0.25">
      <c r="B46" s="128" t="s">
        <v>37</v>
      </c>
      <c r="C46" s="5" t="str">
        <f>IF(COUNTBLANK(C6:C45)=40," ",AVERAGE(C6:C45))</f>
        <v xml:space="preserve"> </v>
      </c>
      <c r="D46" s="5" t="str">
        <f t="shared" ref="D46:AG46" si="2">IF(COUNTBLANK(D6:D45)=40," ",AVERAGE(D6:D45))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 t="str">
        <f t="shared" si="2"/>
        <v xml:space="preserve"> </v>
      </c>
      <c r="N46" s="5" t="str">
        <f t="shared" si="2"/>
        <v xml:space="preserve"> </v>
      </c>
      <c r="O46" s="5" t="str">
        <f t="shared" si="2"/>
        <v xml:space="preserve"> </v>
      </c>
      <c r="P46" s="5" t="str">
        <f t="shared" si="2"/>
        <v xml:space="preserve"> </v>
      </c>
      <c r="Q46" s="5" t="str">
        <f t="shared" si="2"/>
        <v xml:space="preserve"> </v>
      </c>
      <c r="R46" s="5" t="str">
        <f t="shared" si="2"/>
        <v xml:space="preserve"> </v>
      </c>
      <c r="S46" s="5" t="str">
        <f t="shared" si="2"/>
        <v xml:space="preserve"> </v>
      </c>
      <c r="T46" s="5" t="str">
        <f t="shared" si="2"/>
        <v xml:space="preserve"> </v>
      </c>
      <c r="U46" s="5" t="str">
        <f t="shared" si="2"/>
        <v xml:space="preserve"> </v>
      </c>
      <c r="V46" s="5" t="str">
        <f t="shared" si="2"/>
        <v xml:space="preserve"> </v>
      </c>
      <c r="W46" s="5" t="str">
        <f t="shared" si="2"/>
        <v xml:space="preserve"> </v>
      </c>
      <c r="X46" s="5" t="str">
        <f t="shared" si="2"/>
        <v xml:space="preserve"> </v>
      </c>
      <c r="Y46" s="5" t="str">
        <f t="shared" si="2"/>
        <v xml:space="preserve"> </v>
      </c>
      <c r="Z46" s="5" t="str">
        <f t="shared" si="2"/>
        <v xml:space="preserve"> </v>
      </c>
      <c r="AA46" s="5" t="str">
        <f t="shared" si="2"/>
        <v xml:space="preserve"> </v>
      </c>
      <c r="AB46" s="5" t="str">
        <f t="shared" si="2"/>
        <v xml:space="preserve"> </v>
      </c>
      <c r="AC46" s="5" t="str">
        <f t="shared" si="2"/>
        <v xml:space="preserve"> </v>
      </c>
      <c r="AD46" s="5" t="str">
        <f t="shared" si="2"/>
        <v xml:space="preserve"> </v>
      </c>
      <c r="AE46" s="5" t="str">
        <f t="shared" si="2"/>
        <v xml:space="preserve"> </v>
      </c>
      <c r="AF46" s="5" t="str">
        <f t="shared" si="2"/>
        <v xml:space="preserve"> </v>
      </c>
      <c r="AG46" s="5">
        <f t="shared" si="2"/>
        <v>0</v>
      </c>
      <c r="AH46" s="92">
        <f>IF(COUNTBLANK(AH6:AH45)=40," ",AVERAGE(AH6:AH45))</f>
        <v>0</v>
      </c>
    </row>
    <row r="47" spans="1:34" x14ac:dyDescent="0.25">
      <c r="B47" s="128" t="s">
        <v>42</v>
      </c>
      <c r="C47" s="5" t="str">
        <f t="shared" ref="C47:AF47" si="3">IF(C46="","",IF(ISERROR(ROUND(C46*10/C4,1))," ",(ROUND(C46*10/C4,1))))</f>
        <v xml:space="preserve"> </v>
      </c>
      <c r="D47" s="5" t="str">
        <f t="shared" si="3"/>
        <v xml:space="preserve"> </v>
      </c>
      <c r="E47" s="5" t="str">
        <f t="shared" si="3"/>
        <v xml:space="preserve"> </v>
      </c>
      <c r="F47" s="5" t="str">
        <f t="shared" si="3"/>
        <v xml:space="preserve"> </v>
      </c>
      <c r="G47" s="5" t="str">
        <f t="shared" si="3"/>
        <v xml:space="preserve"> </v>
      </c>
      <c r="H47" s="5" t="str">
        <f t="shared" si="3"/>
        <v xml:space="preserve"> </v>
      </c>
      <c r="I47" s="5" t="str">
        <f t="shared" si="3"/>
        <v xml:space="preserve"> </v>
      </c>
      <c r="J47" s="5" t="str">
        <f t="shared" si="3"/>
        <v xml:space="preserve"> </v>
      </c>
      <c r="K47" s="5" t="str">
        <f t="shared" si="3"/>
        <v xml:space="preserve"> </v>
      </c>
      <c r="L47" s="5" t="str">
        <f t="shared" si="3"/>
        <v xml:space="preserve"> </v>
      </c>
      <c r="M47" s="5" t="str">
        <f t="shared" si="3"/>
        <v xml:space="preserve"> </v>
      </c>
      <c r="N47" s="5" t="str">
        <f t="shared" si="3"/>
        <v xml:space="preserve"> </v>
      </c>
      <c r="O47" s="5" t="str">
        <f t="shared" si="3"/>
        <v xml:space="preserve"> </v>
      </c>
      <c r="P47" s="5" t="str">
        <f t="shared" si="3"/>
        <v xml:space="preserve"> </v>
      </c>
      <c r="Q47" s="5" t="str">
        <f t="shared" si="3"/>
        <v xml:space="preserve"> </v>
      </c>
      <c r="R47" s="5" t="str">
        <f t="shared" si="3"/>
        <v xml:space="preserve"> </v>
      </c>
      <c r="S47" s="5" t="str">
        <f t="shared" si="3"/>
        <v xml:space="preserve"> </v>
      </c>
      <c r="T47" s="5" t="str">
        <f t="shared" si="3"/>
        <v xml:space="preserve"> </v>
      </c>
      <c r="U47" s="5" t="str">
        <f t="shared" si="3"/>
        <v xml:space="preserve"> </v>
      </c>
      <c r="V47" s="5" t="str">
        <f t="shared" si="3"/>
        <v xml:space="preserve"> </v>
      </c>
      <c r="W47" s="5" t="str">
        <f t="shared" si="3"/>
        <v xml:space="preserve"> </v>
      </c>
      <c r="X47" s="5" t="str">
        <f t="shared" si="3"/>
        <v xml:space="preserve"> </v>
      </c>
      <c r="Y47" s="5" t="str">
        <f t="shared" si="3"/>
        <v xml:space="preserve"> </v>
      </c>
      <c r="Z47" s="5" t="str">
        <f t="shared" si="3"/>
        <v xml:space="preserve"> </v>
      </c>
      <c r="AA47" s="5" t="str">
        <f t="shared" si="3"/>
        <v xml:space="preserve"> </v>
      </c>
      <c r="AB47" s="5" t="str">
        <f t="shared" si="3"/>
        <v xml:space="preserve"> </v>
      </c>
      <c r="AC47" s="5" t="str">
        <f t="shared" si="3"/>
        <v xml:space="preserve"> </v>
      </c>
      <c r="AD47" s="5" t="str">
        <f t="shared" si="3"/>
        <v xml:space="preserve"> </v>
      </c>
      <c r="AE47" s="5" t="str">
        <f t="shared" si="3"/>
        <v xml:space="preserve"> </v>
      </c>
      <c r="AF47" s="5" t="str">
        <f t="shared" si="3"/>
        <v xml:space="preserve"> </v>
      </c>
      <c r="AG47" s="5">
        <f>IF(AG46="","",IF(ISERROR(ROUND(AG46*10/AG5,1))," ",(ROUND(AG46*10/AG5,1))))</f>
        <v>0</v>
      </c>
      <c r="AH47" s="5" t="str">
        <f>IF(AH46="","",IF(ISERROR(ROUND(AH46*10/AH5,1))," ",(ROUND(AH46*10/AH5,1))))</f>
        <v xml:space="preserve"> </v>
      </c>
    </row>
    <row r="48" spans="1:34" x14ac:dyDescent="0.25">
      <c r="B48" s="128" t="s">
        <v>377</v>
      </c>
      <c r="C48" s="5">
        <f>COUNTIF(C6:C45,"&gt;="&amp;(0.7*C4))</f>
        <v>0</v>
      </c>
      <c r="D48" s="5">
        <f t="shared" ref="D48:L48" si="4">COUNTIF(D6:D45,"&gt;="&amp;(0.7*D4))</f>
        <v>0</v>
      </c>
      <c r="E48" s="5">
        <f t="shared" si="4"/>
        <v>0</v>
      </c>
      <c r="F48" s="5">
        <f t="shared" si="4"/>
        <v>0</v>
      </c>
      <c r="G48" s="5">
        <f t="shared" si="4"/>
        <v>0</v>
      </c>
      <c r="H48" s="5">
        <f t="shared" si="4"/>
        <v>0</v>
      </c>
      <c r="I48" s="5">
        <f t="shared" si="4"/>
        <v>0</v>
      </c>
      <c r="J48" s="5">
        <f t="shared" si="4"/>
        <v>0</v>
      </c>
      <c r="K48" s="5">
        <f t="shared" si="4"/>
        <v>0</v>
      </c>
      <c r="L48" s="5">
        <f t="shared" si="4"/>
        <v>0</v>
      </c>
      <c r="M48" s="5">
        <f t="shared" ref="M48:AF48" si="5">COUNTIF(M6:M45,"&gt;="&amp;(0.75*M4))</f>
        <v>0</v>
      </c>
      <c r="N48" s="5">
        <f t="shared" si="5"/>
        <v>0</v>
      </c>
      <c r="O48" s="5">
        <f t="shared" si="5"/>
        <v>0</v>
      </c>
      <c r="P48" s="5">
        <f t="shared" si="5"/>
        <v>0</v>
      </c>
      <c r="Q48" s="5">
        <f t="shared" si="5"/>
        <v>0</v>
      </c>
      <c r="R48" s="5">
        <f t="shared" si="5"/>
        <v>0</v>
      </c>
      <c r="S48" s="5">
        <f t="shared" si="5"/>
        <v>0</v>
      </c>
      <c r="T48" s="5">
        <f t="shared" si="5"/>
        <v>0</v>
      </c>
      <c r="U48" s="5">
        <f t="shared" si="5"/>
        <v>0</v>
      </c>
      <c r="V48" s="5">
        <f t="shared" si="5"/>
        <v>0</v>
      </c>
      <c r="W48" s="5">
        <f t="shared" si="5"/>
        <v>0</v>
      </c>
      <c r="X48" s="5">
        <f t="shared" si="5"/>
        <v>0</v>
      </c>
      <c r="Y48" s="5">
        <f t="shared" si="5"/>
        <v>0</v>
      </c>
      <c r="Z48" s="5">
        <f t="shared" si="5"/>
        <v>0</v>
      </c>
      <c r="AA48" s="5">
        <f t="shared" si="5"/>
        <v>0</v>
      </c>
      <c r="AB48" s="5">
        <f t="shared" si="5"/>
        <v>0</v>
      </c>
      <c r="AC48" s="5">
        <f t="shared" si="5"/>
        <v>0</v>
      </c>
      <c r="AD48" s="5">
        <f t="shared" si="5"/>
        <v>0</v>
      </c>
      <c r="AE48" s="5">
        <f t="shared" si="5"/>
        <v>0</v>
      </c>
      <c r="AF48" s="5">
        <f t="shared" si="5"/>
        <v>0</v>
      </c>
    </row>
    <row r="50" spans="2:34" ht="15.75" thickBot="1" x14ac:dyDescent="0.3"/>
    <row r="51" spans="2:34" ht="42.75" customHeight="1" thickBot="1" x14ac:dyDescent="0.3">
      <c r="B51" s="333" t="s">
        <v>420</v>
      </c>
      <c r="C51" s="601" t="s">
        <v>410</v>
      </c>
      <c r="D51" s="601"/>
      <c r="E51" s="601"/>
      <c r="F51" s="601"/>
      <c r="G51" s="601"/>
      <c r="H51" s="601"/>
      <c r="I51" s="601"/>
      <c r="J51" s="601"/>
      <c r="K51" s="601"/>
      <c r="L51" s="602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34" t="s">
        <v>412</v>
      </c>
      <c r="AH51" s="335" t="s">
        <v>417</v>
      </c>
    </row>
    <row r="52" spans="2:34" x14ac:dyDescent="0.25">
      <c r="B52" s="583" t="s">
        <v>383</v>
      </c>
      <c r="C52" s="375"/>
      <c r="D52" s="369"/>
      <c r="E52" s="369"/>
      <c r="F52" s="369"/>
      <c r="G52" s="369"/>
      <c r="H52" s="369"/>
      <c r="I52" s="369"/>
      <c r="J52" s="369"/>
      <c r="K52" s="369"/>
      <c r="L52" s="376"/>
      <c r="AG52" s="599" t="str">
        <f>IF(AH52=0,"",SUM(C53:L53))</f>
        <v/>
      </c>
      <c r="AH52" s="563">
        <f>COUNT(C53:L53)</f>
        <v>0</v>
      </c>
    </row>
    <row r="53" spans="2:34" hidden="1" x14ac:dyDescent="0.25">
      <c r="B53" s="575"/>
      <c r="C53" s="377" t="str">
        <f t="shared" ref="C53:L53" si="6">IF(C52="x",C48,"")</f>
        <v/>
      </c>
      <c r="D53" s="370" t="str">
        <f t="shared" si="6"/>
        <v/>
      </c>
      <c r="E53" s="370" t="str">
        <f t="shared" si="6"/>
        <v/>
      </c>
      <c r="F53" s="370" t="str">
        <f t="shared" si="6"/>
        <v/>
      </c>
      <c r="G53" s="370" t="str">
        <f t="shared" si="6"/>
        <v/>
      </c>
      <c r="H53" s="370" t="str">
        <f t="shared" si="6"/>
        <v/>
      </c>
      <c r="I53" s="370" t="str">
        <f t="shared" si="6"/>
        <v/>
      </c>
      <c r="J53" s="370" t="str">
        <f t="shared" si="6"/>
        <v/>
      </c>
      <c r="K53" s="370" t="str">
        <f t="shared" si="6"/>
        <v/>
      </c>
      <c r="L53" s="378" t="str">
        <f t="shared" si="6"/>
        <v/>
      </c>
      <c r="AG53" s="599"/>
      <c r="AH53" s="563"/>
    </row>
    <row r="54" spans="2:34" x14ac:dyDescent="0.25">
      <c r="B54" s="575" t="s">
        <v>385</v>
      </c>
      <c r="C54" s="379"/>
      <c r="D54" s="371"/>
      <c r="E54" s="371"/>
      <c r="F54" s="371"/>
      <c r="G54" s="371"/>
      <c r="H54" s="371"/>
      <c r="I54" s="371"/>
      <c r="J54" s="371"/>
      <c r="K54" s="371"/>
      <c r="L54" s="380"/>
      <c r="AG54" s="599" t="str">
        <f t="shared" ref="AG54" si="7">IF(AH54=0,"",SUM(C55:L55))</f>
        <v/>
      </c>
      <c r="AH54" s="563">
        <f t="shared" ref="AH54" si="8">COUNT(C55:L55)</f>
        <v>0</v>
      </c>
    </row>
    <row r="55" spans="2:34" hidden="1" x14ac:dyDescent="0.25">
      <c r="B55" s="575"/>
      <c r="C55" s="377" t="str">
        <f t="shared" ref="C55:L55" si="9">IF(C54="x",C48,"")</f>
        <v/>
      </c>
      <c r="D55" s="370" t="str">
        <f t="shared" si="9"/>
        <v/>
      </c>
      <c r="E55" s="370" t="str">
        <f t="shared" si="9"/>
        <v/>
      </c>
      <c r="F55" s="370" t="str">
        <f t="shared" si="9"/>
        <v/>
      </c>
      <c r="G55" s="370" t="str">
        <f t="shared" si="9"/>
        <v/>
      </c>
      <c r="H55" s="370" t="str">
        <f t="shared" si="9"/>
        <v/>
      </c>
      <c r="I55" s="370" t="str">
        <f t="shared" si="9"/>
        <v/>
      </c>
      <c r="J55" s="370" t="str">
        <f t="shared" si="9"/>
        <v/>
      </c>
      <c r="K55" s="370" t="str">
        <f t="shared" si="9"/>
        <v/>
      </c>
      <c r="L55" s="378" t="str">
        <f t="shared" si="9"/>
        <v/>
      </c>
      <c r="AG55" s="599"/>
      <c r="AH55" s="563"/>
    </row>
    <row r="56" spans="2:34" x14ac:dyDescent="0.25">
      <c r="B56" s="575" t="s">
        <v>388</v>
      </c>
      <c r="C56" s="379"/>
      <c r="D56" s="371"/>
      <c r="E56" s="371"/>
      <c r="F56" s="371"/>
      <c r="G56" s="371"/>
      <c r="H56" s="371"/>
      <c r="I56" s="371"/>
      <c r="J56" s="371"/>
      <c r="K56" s="371"/>
      <c r="L56" s="380"/>
      <c r="AG56" s="599" t="str">
        <f t="shared" ref="AG56" si="10">IF(AH56=0,"",SUM(C57:L57))</f>
        <v/>
      </c>
      <c r="AH56" s="563">
        <f t="shared" ref="AH56" si="11">COUNT(C57:L57)</f>
        <v>0</v>
      </c>
    </row>
    <row r="57" spans="2:34" hidden="1" x14ac:dyDescent="0.25">
      <c r="B57" s="575"/>
      <c r="C57" s="377" t="str">
        <f t="shared" ref="C57:L57" si="12">IF(C56="x",C48,"")</f>
        <v/>
      </c>
      <c r="D57" s="370" t="str">
        <f t="shared" si="12"/>
        <v/>
      </c>
      <c r="E57" s="370" t="str">
        <f t="shared" si="12"/>
        <v/>
      </c>
      <c r="F57" s="370" t="str">
        <f t="shared" si="12"/>
        <v/>
      </c>
      <c r="G57" s="370" t="str">
        <f t="shared" si="12"/>
        <v/>
      </c>
      <c r="H57" s="370" t="str">
        <f t="shared" si="12"/>
        <v/>
      </c>
      <c r="I57" s="370" t="str">
        <f t="shared" si="12"/>
        <v/>
      </c>
      <c r="J57" s="370" t="str">
        <f t="shared" si="12"/>
        <v/>
      </c>
      <c r="K57" s="370" t="str">
        <f t="shared" si="12"/>
        <v/>
      </c>
      <c r="L57" s="378" t="str">
        <f t="shared" si="12"/>
        <v/>
      </c>
      <c r="AG57" s="599"/>
      <c r="AH57" s="563"/>
    </row>
    <row r="58" spans="2:34" ht="15.75" thickBot="1" x14ac:dyDescent="0.3">
      <c r="B58" s="575" t="s">
        <v>389</v>
      </c>
      <c r="C58" s="379"/>
      <c r="D58" s="371"/>
      <c r="E58" s="371"/>
      <c r="F58" s="371"/>
      <c r="G58" s="371"/>
      <c r="H58" s="371"/>
      <c r="I58" s="371"/>
      <c r="J58" s="371"/>
      <c r="K58" s="371"/>
      <c r="L58" s="380"/>
      <c r="AG58" s="599" t="str">
        <f t="shared" ref="AG58" si="13">IF(AH58=0,"",SUM(C59:L59))</f>
        <v/>
      </c>
      <c r="AH58" s="563">
        <f t="shared" ref="AH58" si="14">COUNT(C59:L59)</f>
        <v>0</v>
      </c>
    </row>
    <row r="59" spans="2:34" ht="15.75" hidden="1" thickBot="1" x14ac:dyDescent="0.3">
      <c r="B59" s="576"/>
      <c r="C59" s="381" t="str">
        <f t="shared" ref="C59:L59" si="15">IF(C58="x",C48,"")</f>
        <v/>
      </c>
      <c r="D59" s="372" t="str">
        <f t="shared" si="15"/>
        <v/>
      </c>
      <c r="E59" s="372" t="str">
        <f t="shared" si="15"/>
        <v/>
      </c>
      <c r="F59" s="372" t="str">
        <f t="shared" si="15"/>
        <v/>
      </c>
      <c r="G59" s="372" t="str">
        <f t="shared" si="15"/>
        <v/>
      </c>
      <c r="H59" s="372" t="str">
        <f t="shared" si="15"/>
        <v/>
      </c>
      <c r="I59" s="372" t="str">
        <f t="shared" si="15"/>
        <v/>
      </c>
      <c r="J59" s="372" t="str">
        <f t="shared" si="15"/>
        <v/>
      </c>
      <c r="K59" s="372" t="str">
        <f t="shared" si="15"/>
        <v/>
      </c>
      <c r="L59" s="382" t="str">
        <f t="shared" si="15"/>
        <v/>
      </c>
      <c r="AG59" s="599"/>
      <c r="AH59" s="563"/>
    </row>
    <row r="60" spans="2:34" x14ac:dyDescent="0.25">
      <c r="B60" s="577" t="s">
        <v>391</v>
      </c>
      <c r="C60" s="383"/>
      <c r="D60" s="373"/>
      <c r="E60" s="373"/>
      <c r="F60" s="373"/>
      <c r="G60" s="373"/>
      <c r="H60" s="373"/>
      <c r="I60" s="373"/>
      <c r="J60" s="373"/>
      <c r="K60" s="373"/>
      <c r="L60" s="384"/>
      <c r="AG60" s="600" t="str">
        <f t="shared" ref="AG60" si="16">IF(AH60=0,"",SUM(C61:L61))</f>
        <v/>
      </c>
      <c r="AH60" s="569">
        <f t="shared" ref="AH60" si="17">COUNT(C61:L61)</f>
        <v>0</v>
      </c>
    </row>
    <row r="61" spans="2:34" hidden="1" x14ac:dyDescent="0.25">
      <c r="B61" s="578"/>
      <c r="C61" s="377" t="str">
        <f t="shared" ref="C61:L61" si="18">IF(C60="x",C48,"")</f>
        <v/>
      </c>
      <c r="D61" s="370" t="str">
        <f t="shared" si="18"/>
        <v/>
      </c>
      <c r="E61" s="370" t="str">
        <f t="shared" si="18"/>
        <v/>
      </c>
      <c r="F61" s="370" t="str">
        <f t="shared" si="18"/>
        <v/>
      </c>
      <c r="G61" s="370" t="str">
        <f t="shared" si="18"/>
        <v/>
      </c>
      <c r="H61" s="370" t="str">
        <f t="shared" si="18"/>
        <v/>
      </c>
      <c r="I61" s="370" t="str">
        <f t="shared" si="18"/>
        <v/>
      </c>
      <c r="J61" s="370" t="str">
        <f t="shared" si="18"/>
        <v/>
      </c>
      <c r="K61" s="370" t="str">
        <f t="shared" si="18"/>
        <v/>
      </c>
      <c r="L61" s="378" t="str">
        <f t="shared" si="18"/>
        <v/>
      </c>
      <c r="AG61" s="600"/>
      <c r="AH61" s="569"/>
    </row>
    <row r="62" spans="2:34" ht="15.75" thickBot="1" x14ac:dyDescent="0.3">
      <c r="B62" s="578" t="s">
        <v>393</v>
      </c>
      <c r="C62" s="385"/>
      <c r="D62" s="374"/>
      <c r="E62" s="374"/>
      <c r="F62" s="374"/>
      <c r="G62" s="374"/>
      <c r="H62" s="374"/>
      <c r="I62" s="374"/>
      <c r="J62" s="374"/>
      <c r="K62" s="374"/>
      <c r="L62" s="386"/>
      <c r="AG62" s="600" t="str">
        <f t="shared" ref="AG62" si="19">IF(AH62=0,"",SUM(C63:L63))</f>
        <v/>
      </c>
      <c r="AH62" s="569">
        <f t="shared" ref="AH62" si="20">COUNT(C63:L63)</f>
        <v>0</v>
      </c>
    </row>
    <row r="63" spans="2:34" ht="15.75" hidden="1" thickBot="1" x14ac:dyDescent="0.3">
      <c r="B63" s="582"/>
      <c r="C63" s="381" t="str">
        <f t="shared" ref="C63:L63" si="21">IF(C62="x",C48,"")</f>
        <v/>
      </c>
      <c r="D63" s="372" t="str">
        <f t="shared" si="21"/>
        <v/>
      </c>
      <c r="E63" s="372" t="str">
        <f t="shared" si="21"/>
        <v/>
      </c>
      <c r="F63" s="372" t="str">
        <f t="shared" si="21"/>
        <v/>
      </c>
      <c r="G63" s="372" t="str">
        <f t="shared" si="21"/>
        <v/>
      </c>
      <c r="H63" s="372" t="str">
        <f t="shared" si="21"/>
        <v/>
      </c>
      <c r="I63" s="372" t="str">
        <f t="shared" si="21"/>
        <v/>
      </c>
      <c r="J63" s="372" t="str">
        <f t="shared" si="21"/>
        <v/>
      </c>
      <c r="K63" s="372" t="str">
        <f t="shared" si="21"/>
        <v/>
      </c>
      <c r="L63" s="382" t="str">
        <f t="shared" si="21"/>
        <v/>
      </c>
      <c r="AG63" s="600"/>
      <c r="AH63" s="569"/>
    </row>
    <row r="64" spans="2:34" x14ac:dyDescent="0.25">
      <c r="B64" s="583" t="s">
        <v>394</v>
      </c>
      <c r="C64" s="375"/>
      <c r="D64" s="369"/>
      <c r="E64" s="369"/>
      <c r="F64" s="369"/>
      <c r="G64" s="369"/>
      <c r="H64" s="369"/>
      <c r="I64" s="369"/>
      <c r="J64" s="369"/>
      <c r="K64" s="369"/>
      <c r="L64" s="376"/>
      <c r="AG64" s="599" t="str">
        <f t="shared" ref="AG64" si="22">IF(AH64=0,"",SUM(C65:L65))</f>
        <v/>
      </c>
      <c r="AH64" s="563">
        <f t="shared" ref="AH64" si="23">COUNT(C65:L65)</f>
        <v>0</v>
      </c>
    </row>
    <row r="65" spans="2:34" hidden="1" x14ac:dyDescent="0.25">
      <c r="B65" s="575"/>
      <c r="C65" s="377" t="str">
        <f t="shared" ref="C65:L65" si="24">IF(C64="x",C48,"")</f>
        <v/>
      </c>
      <c r="D65" s="370" t="str">
        <f t="shared" si="24"/>
        <v/>
      </c>
      <c r="E65" s="370" t="str">
        <f t="shared" si="24"/>
        <v/>
      </c>
      <c r="F65" s="370" t="str">
        <f t="shared" si="24"/>
        <v/>
      </c>
      <c r="G65" s="370" t="str">
        <f t="shared" si="24"/>
        <v/>
      </c>
      <c r="H65" s="370" t="str">
        <f t="shared" si="24"/>
        <v/>
      </c>
      <c r="I65" s="370" t="str">
        <f t="shared" si="24"/>
        <v/>
      </c>
      <c r="J65" s="370" t="str">
        <f t="shared" si="24"/>
        <v/>
      </c>
      <c r="K65" s="370" t="str">
        <f t="shared" si="24"/>
        <v/>
      </c>
      <c r="L65" s="378" t="str">
        <f t="shared" si="24"/>
        <v/>
      </c>
      <c r="AG65" s="599"/>
      <c r="AH65" s="563"/>
    </row>
    <row r="66" spans="2:34" x14ac:dyDescent="0.25">
      <c r="B66" s="575" t="s">
        <v>395</v>
      </c>
      <c r="C66" s="379"/>
      <c r="D66" s="371"/>
      <c r="E66" s="371"/>
      <c r="F66" s="371"/>
      <c r="G66" s="371"/>
      <c r="H66" s="371"/>
      <c r="I66" s="371"/>
      <c r="J66" s="371"/>
      <c r="K66" s="371"/>
      <c r="L66" s="380"/>
      <c r="AG66" s="599" t="str">
        <f t="shared" ref="AG66" si="25">IF(AH66=0,"",SUM(C67:L67))</f>
        <v/>
      </c>
      <c r="AH66" s="563">
        <f t="shared" ref="AH66" si="26">COUNT(C67:L67)</f>
        <v>0</v>
      </c>
    </row>
    <row r="67" spans="2:34" hidden="1" x14ac:dyDescent="0.25">
      <c r="B67" s="575"/>
      <c r="C67" s="377" t="str">
        <f t="shared" ref="C67:L67" si="27">IF(C66="x",C48,"")</f>
        <v/>
      </c>
      <c r="D67" s="370" t="str">
        <f t="shared" si="27"/>
        <v/>
      </c>
      <c r="E67" s="370" t="str">
        <f t="shared" si="27"/>
        <v/>
      </c>
      <c r="F67" s="370" t="str">
        <f t="shared" si="27"/>
        <v/>
      </c>
      <c r="G67" s="370" t="str">
        <f t="shared" si="27"/>
        <v/>
      </c>
      <c r="H67" s="370" t="str">
        <f t="shared" si="27"/>
        <v/>
      </c>
      <c r="I67" s="370" t="str">
        <f t="shared" si="27"/>
        <v/>
      </c>
      <c r="J67" s="370" t="str">
        <f t="shared" si="27"/>
        <v/>
      </c>
      <c r="K67" s="370" t="str">
        <f t="shared" si="27"/>
        <v/>
      </c>
      <c r="L67" s="378" t="str">
        <f t="shared" si="27"/>
        <v/>
      </c>
      <c r="AG67" s="599"/>
      <c r="AH67" s="563"/>
    </row>
    <row r="68" spans="2:34" ht="15.75" thickBot="1" x14ac:dyDescent="0.3">
      <c r="B68" s="575" t="s">
        <v>396</v>
      </c>
      <c r="C68" s="379"/>
      <c r="D68" s="371"/>
      <c r="E68" s="371"/>
      <c r="F68" s="371"/>
      <c r="G68" s="371"/>
      <c r="H68" s="371"/>
      <c r="I68" s="371"/>
      <c r="J68" s="371"/>
      <c r="K68" s="371"/>
      <c r="L68" s="380"/>
      <c r="AG68" s="599" t="str">
        <f t="shared" ref="AG68" si="28">IF(AH68=0,"",SUM(C69:L69))</f>
        <v/>
      </c>
      <c r="AH68" s="563">
        <f t="shared" ref="AH68" si="29">COUNT(C69:L69)</f>
        <v>0</v>
      </c>
    </row>
    <row r="69" spans="2:34" ht="15.75" hidden="1" thickBot="1" x14ac:dyDescent="0.3">
      <c r="B69" s="576"/>
      <c r="C69" s="381" t="str">
        <f t="shared" ref="C69:L69" si="30">IF(C68="x",C48,"")</f>
        <v/>
      </c>
      <c r="D69" s="372" t="str">
        <f t="shared" si="30"/>
        <v/>
      </c>
      <c r="E69" s="372" t="str">
        <f t="shared" si="30"/>
        <v/>
      </c>
      <c r="F69" s="372" t="str">
        <f t="shared" si="30"/>
        <v/>
      </c>
      <c r="G69" s="372" t="str">
        <f t="shared" si="30"/>
        <v/>
      </c>
      <c r="H69" s="372" t="str">
        <f t="shared" si="30"/>
        <v/>
      </c>
      <c r="I69" s="372" t="str">
        <f t="shared" si="30"/>
        <v/>
      </c>
      <c r="J69" s="372" t="str">
        <f t="shared" si="30"/>
        <v/>
      </c>
      <c r="K69" s="372" t="str">
        <f t="shared" si="30"/>
        <v/>
      </c>
      <c r="L69" s="382" t="str">
        <f t="shared" si="30"/>
        <v/>
      </c>
      <c r="AG69" s="599"/>
      <c r="AH69" s="563"/>
    </row>
    <row r="70" spans="2:34" x14ac:dyDescent="0.25">
      <c r="B70" s="577" t="s">
        <v>397</v>
      </c>
      <c r="C70" s="383"/>
      <c r="D70" s="373"/>
      <c r="E70" s="373"/>
      <c r="F70" s="373"/>
      <c r="G70" s="373"/>
      <c r="H70" s="373"/>
      <c r="I70" s="373"/>
      <c r="J70" s="373"/>
      <c r="K70" s="373"/>
      <c r="L70" s="384"/>
      <c r="AG70" s="600" t="str">
        <f t="shared" ref="AG70" si="31">IF(AH70=0,"",SUM(C71:L71))</f>
        <v/>
      </c>
      <c r="AH70" s="569">
        <f t="shared" ref="AH70" si="32">COUNT(C71:L71)</f>
        <v>0</v>
      </c>
    </row>
    <row r="71" spans="2:34" hidden="1" x14ac:dyDescent="0.25">
      <c r="B71" s="578"/>
      <c r="C71" s="377" t="str">
        <f t="shared" ref="C71:L71" si="33">IF(C70="x",C48,"")</f>
        <v/>
      </c>
      <c r="D71" s="370" t="str">
        <f t="shared" si="33"/>
        <v/>
      </c>
      <c r="E71" s="370" t="str">
        <f t="shared" si="33"/>
        <v/>
      </c>
      <c r="F71" s="370" t="str">
        <f t="shared" si="33"/>
        <v/>
      </c>
      <c r="G71" s="370" t="str">
        <f t="shared" si="33"/>
        <v/>
      </c>
      <c r="H71" s="370" t="str">
        <f t="shared" si="33"/>
        <v/>
      </c>
      <c r="I71" s="370" t="str">
        <f t="shared" si="33"/>
        <v/>
      </c>
      <c r="J71" s="370" t="str">
        <f t="shared" si="33"/>
        <v/>
      </c>
      <c r="K71" s="370" t="str">
        <f t="shared" si="33"/>
        <v/>
      </c>
      <c r="L71" s="378" t="str">
        <f t="shared" si="33"/>
        <v/>
      </c>
      <c r="AG71" s="600"/>
      <c r="AH71" s="569"/>
    </row>
    <row r="72" spans="2:34" ht="15.75" thickBot="1" x14ac:dyDescent="0.3">
      <c r="B72" s="578" t="s">
        <v>398</v>
      </c>
      <c r="C72" s="385"/>
      <c r="D72" s="374"/>
      <c r="E72" s="374"/>
      <c r="F72" s="374"/>
      <c r="G72" s="374"/>
      <c r="H72" s="374"/>
      <c r="I72" s="374"/>
      <c r="J72" s="374"/>
      <c r="K72" s="374"/>
      <c r="L72" s="386"/>
      <c r="AG72" s="600" t="str">
        <f t="shared" ref="AG72" si="34">IF(AH72=0,"",SUM(C73:L73))</f>
        <v/>
      </c>
      <c r="AH72" s="569">
        <f t="shared" ref="AH72" si="35">COUNT(C73:L73)</f>
        <v>0</v>
      </c>
    </row>
    <row r="73" spans="2:34" ht="15.75" hidden="1" thickBot="1" x14ac:dyDescent="0.3">
      <c r="B73" s="582"/>
      <c r="C73" s="381" t="str">
        <f t="shared" ref="C73:L73" si="36">IF(C72="x",C48,"")</f>
        <v/>
      </c>
      <c r="D73" s="372" t="str">
        <f t="shared" si="36"/>
        <v/>
      </c>
      <c r="E73" s="372" t="str">
        <f t="shared" si="36"/>
        <v/>
      </c>
      <c r="F73" s="372" t="str">
        <f t="shared" si="36"/>
        <v/>
      </c>
      <c r="G73" s="372" t="str">
        <f t="shared" si="36"/>
        <v/>
      </c>
      <c r="H73" s="372" t="str">
        <f t="shared" si="36"/>
        <v/>
      </c>
      <c r="I73" s="372" t="str">
        <f t="shared" si="36"/>
        <v/>
      </c>
      <c r="J73" s="372" t="str">
        <f t="shared" si="36"/>
        <v/>
      </c>
      <c r="K73" s="372" t="str">
        <f t="shared" si="36"/>
        <v/>
      </c>
      <c r="L73" s="382" t="str">
        <f t="shared" si="36"/>
        <v/>
      </c>
      <c r="AG73" s="600"/>
      <c r="AH73" s="569"/>
    </row>
    <row r="74" spans="2:34" x14ac:dyDescent="0.25">
      <c r="B74" s="583" t="s">
        <v>399</v>
      </c>
      <c r="C74" s="375"/>
      <c r="D74" s="369"/>
      <c r="E74" s="369"/>
      <c r="F74" s="369"/>
      <c r="G74" s="369"/>
      <c r="H74" s="369"/>
      <c r="I74" s="369"/>
      <c r="J74" s="369"/>
      <c r="K74" s="369"/>
      <c r="L74" s="376"/>
      <c r="AG74" s="599" t="str">
        <f t="shared" ref="AG74" si="37">IF(AH74=0,"",SUM(C75:L75))</f>
        <v/>
      </c>
      <c r="AH74" s="563">
        <f t="shared" ref="AH74" si="38">COUNT(C75:L75)</f>
        <v>0</v>
      </c>
    </row>
    <row r="75" spans="2:34" hidden="1" x14ac:dyDescent="0.25">
      <c r="B75" s="575"/>
      <c r="C75" s="377" t="str">
        <f t="shared" ref="C75:L75" si="39">IF(C74="x",C48,"")</f>
        <v/>
      </c>
      <c r="D75" s="370" t="str">
        <f t="shared" si="39"/>
        <v/>
      </c>
      <c r="E75" s="370" t="str">
        <f t="shared" si="39"/>
        <v/>
      </c>
      <c r="F75" s="370" t="str">
        <f t="shared" si="39"/>
        <v/>
      </c>
      <c r="G75" s="370" t="str">
        <f t="shared" si="39"/>
        <v/>
      </c>
      <c r="H75" s="370" t="str">
        <f t="shared" si="39"/>
        <v/>
      </c>
      <c r="I75" s="370" t="str">
        <f t="shared" si="39"/>
        <v/>
      </c>
      <c r="J75" s="370" t="str">
        <f t="shared" si="39"/>
        <v/>
      </c>
      <c r="K75" s="370" t="str">
        <f t="shared" si="39"/>
        <v/>
      </c>
      <c r="L75" s="378" t="str">
        <f t="shared" si="39"/>
        <v/>
      </c>
      <c r="AG75" s="599"/>
      <c r="AH75" s="563"/>
    </row>
    <row r="76" spans="2:34" ht="15.75" thickBot="1" x14ac:dyDescent="0.3">
      <c r="B76" s="575" t="s">
        <v>400</v>
      </c>
      <c r="C76" s="379"/>
      <c r="D76" s="371"/>
      <c r="E76" s="371"/>
      <c r="F76" s="371"/>
      <c r="G76" s="371"/>
      <c r="H76" s="371"/>
      <c r="I76" s="371"/>
      <c r="J76" s="371"/>
      <c r="K76" s="371"/>
      <c r="L76" s="380"/>
      <c r="AG76" s="599" t="str">
        <f t="shared" ref="AG76" si="40">IF(AH76=0,"",SUM(C77:L77))</f>
        <v/>
      </c>
      <c r="AH76" s="563">
        <f t="shared" ref="AH76" si="41">COUNT(C77:L77)</f>
        <v>0</v>
      </c>
    </row>
    <row r="77" spans="2:34" ht="15.75" hidden="1" thickBot="1" x14ac:dyDescent="0.3">
      <c r="B77" s="576"/>
      <c r="C77" s="381" t="str">
        <f t="shared" ref="C77:L77" si="42">IF(C76="x",C48,"")</f>
        <v/>
      </c>
      <c r="D77" s="372" t="str">
        <f t="shared" si="42"/>
        <v/>
      </c>
      <c r="E77" s="372" t="str">
        <f t="shared" si="42"/>
        <v/>
      </c>
      <c r="F77" s="372" t="str">
        <f t="shared" si="42"/>
        <v/>
      </c>
      <c r="G77" s="372" t="str">
        <f t="shared" si="42"/>
        <v/>
      </c>
      <c r="H77" s="372" t="str">
        <f t="shared" si="42"/>
        <v/>
      </c>
      <c r="I77" s="372" t="str">
        <f t="shared" si="42"/>
        <v/>
      </c>
      <c r="J77" s="372" t="str">
        <f t="shared" si="42"/>
        <v/>
      </c>
      <c r="K77" s="372" t="str">
        <f t="shared" si="42"/>
        <v/>
      </c>
      <c r="L77" s="382" t="str">
        <f t="shared" si="42"/>
        <v/>
      </c>
      <c r="AG77" s="599"/>
      <c r="AH77" s="563"/>
    </row>
    <row r="78" spans="2:34" x14ac:dyDescent="0.25">
      <c r="B78" s="579" t="s">
        <v>401</v>
      </c>
      <c r="C78" s="387"/>
      <c r="D78" s="388"/>
      <c r="E78" s="388"/>
      <c r="F78" s="388"/>
      <c r="G78" s="388"/>
      <c r="H78" s="388"/>
      <c r="I78" s="388"/>
      <c r="J78" s="388"/>
      <c r="K78" s="388"/>
      <c r="L78" s="389"/>
      <c r="AG78" s="600" t="str">
        <f t="shared" ref="AG78" si="43">IF(AH78=0,"",SUM(C79:L79))</f>
        <v/>
      </c>
      <c r="AH78" s="569">
        <f t="shared" ref="AH78" si="44">COUNT(C79:L79)</f>
        <v>0</v>
      </c>
    </row>
    <row r="79" spans="2:34" hidden="1" x14ac:dyDescent="0.25">
      <c r="B79" s="580"/>
      <c r="C79" s="390" t="str">
        <f t="shared" ref="C79:L79" si="45">IF(C78="x",C48,"")</f>
        <v/>
      </c>
      <c r="D79" s="391" t="str">
        <f t="shared" si="45"/>
        <v/>
      </c>
      <c r="E79" s="391" t="str">
        <f t="shared" si="45"/>
        <v/>
      </c>
      <c r="F79" s="391" t="str">
        <f t="shared" si="45"/>
        <v/>
      </c>
      <c r="G79" s="391" t="str">
        <f t="shared" si="45"/>
        <v/>
      </c>
      <c r="H79" s="391" t="str">
        <f t="shared" si="45"/>
        <v/>
      </c>
      <c r="I79" s="391" t="str">
        <f t="shared" si="45"/>
        <v/>
      </c>
      <c r="J79" s="391" t="str">
        <f t="shared" si="45"/>
        <v/>
      </c>
      <c r="K79" s="391" t="str">
        <f t="shared" si="45"/>
        <v/>
      </c>
      <c r="L79" s="392" t="str">
        <f t="shared" si="45"/>
        <v/>
      </c>
      <c r="AG79" s="600"/>
      <c r="AH79" s="569"/>
    </row>
    <row r="80" spans="2:34" x14ac:dyDescent="0.25">
      <c r="B80" s="580" t="s">
        <v>402</v>
      </c>
      <c r="C80" s="393"/>
      <c r="D80" s="394"/>
      <c r="E80" s="394"/>
      <c r="F80" s="394"/>
      <c r="G80" s="394"/>
      <c r="H80" s="394"/>
      <c r="I80" s="394"/>
      <c r="J80" s="394"/>
      <c r="K80" s="394"/>
      <c r="L80" s="395"/>
      <c r="AG80" s="600" t="str">
        <f t="shared" ref="AG80" si="46">IF(AH80=0,"",SUM(C81:L81))</f>
        <v/>
      </c>
      <c r="AH80" s="569">
        <f t="shared" ref="AH80" si="47">COUNT(C81:L81)</f>
        <v>0</v>
      </c>
    </row>
    <row r="81" spans="2:34" ht="15.75" hidden="1" thickBot="1" x14ac:dyDescent="0.3">
      <c r="B81" s="581"/>
      <c r="C81" s="292" t="str">
        <f t="shared" ref="C81:L81" si="48">IF(C80="x",C48,"")</f>
        <v/>
      </c>
      <c r="D81" s="293" t="str">
        <f t="shared" si="48"/>
        <v/>
      </c>
      <c r="E81" s="293" t="str">
        <f t="shared" si="48"/>
        <v/>
      </c>
      <c r="F81" s="293" t="str">
        <f t="shared" si="48"/>
        <v/>
      </c>
      <c r="G81" s="293" t="str">
        <f t="shared" si="48"/>
        <v/>
      </c>
      <c r="H81" s="293" t="str">
        <f t="shared" si="48"/>
        <v/>
      </c>
      <c r="I81" s="293" t="str">
        <f t="shared" si="48"/>
        <v/>
      </c>
      <c r="J81" s="293" t="str">
        <f t="shared" si="48"/>
        <v/>
      </c>
      <c r="K81" s="293" t="str">
        <f t="shared" si="48"/>
        <v/>
      </c>
      <c r="L81" s="294" t="str">
        <f t="shared" si="48"/>
        <v/>
      </c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603"/>
      <c r="AH81" s="571"/>
    </row>
  </sheetData>
  <mergeCells count="47">
    <mergeCell ref="AG72:AG73"/>
    <mergeCell ref="AH72:AH73"/>
    <mergeCell ref="AG80:AG81"/>
    <mergeCell ref="AH80:AH81"/>
    <mergeCell ref="AG74:AG75"/>
    <mergeCell ref="AH74:AH75"/>
    <mergeCell ref="AG76:AG77"/>
    <mergeCell ref="AH76:AH77"/>
    <mergeCell ref="AG78:AG79"/>
    <mergeCell ref="AH78:AH79"/>
    <mergeCell ref="AG66:AG67"/>
    <mergeCell ref="AH66:AH67"/>
    <mergeCell ref="AG68:AG69"/>
    <mergeCell ref="AH68:AH69"/>
    <mergeCell ref="AG70:AG71"/>
    <mergeCell ref="AH70:AH71"/>
    <mergeCell ref="AG60:AG61"/>
    <mergeCell ref="AH60:AH61"/>
    <mergeCell ref="AG62:AG63"/>
    <mergeCell ref="AH62:AH63"/>
    <mergeCell ref="AG64:AG65"/>
    <mergeCell ref="AH64:AH65"/>
    <mergeCell ref="AG54:AG55"/>
    <mergeCell ref="AH54:AH55"/>
    <mergeCell ref="AG56:AG57"/>
    <mergeCell ref="AH56:AH57"/>
    <mergeCell ref="AG58:AG59"/>
    <mergeCell ref="AH58:AH59"/>
    <mergeCell ref="A1:A2"/>
    <mergeCell ref="C51:L51"/>
    <mergeCell ref="B52:B53"/>
    <mergeCell ref="AG52:AG53"/>
    <mergeCell ref="AH52:AH53"/>
    <mergeCell ref="B54:B55"/>
    <mergeCell ref="B56:B57"/>
    <mergeCell ref="B58:B59"/>
    <mergeCell ref="B60:B61"/>
    <mergeCell ref="B62:B63"/>
    <mergeCell ref="B74:B75"/>
    <mergeCell ref="B76:B77"/>
    <mergeCell ref="B78:B79"/>
    <mergeCell ref="B80:B81"/>
    <mergeCell ref="B64:B65"/>
    <mergeCell ref="B66:B67"/>
    <mergeCell ref="B68:B69"/>
    <mergeCell ref="B70:B71"/>
    <mergeCell ref="B72:B73"/>
  </mergeCells>
  <pageMargins left="0.25" right="0.25" top="0.75" bottom="0.75" header="0.3" footer="0.3"/>
  <pageSetup paperSize="9" scale="65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  <pageSetUpPr fitToPage="1"/>
  </sheetPr>
  <dimension ref="A1:AJ47"/>
  <sheetViews>
    <sheetView workbookViewId="0">
      <selection activeCell="G11" sqref="G11"/>
    </sheetView>
  </sheetViews>
  <sheetFormatPr defaultColWidth="9.140625" defaultRowHeight="15" x14ac:dyDescent="0.25"/>
  <cols>
    <col min="1" max="1" width="33.85546875" style="97" customWidth="1"/>
    <col min="2" max="2" width="18.28515625" style="97" customWidth="1"/>
    <col min="3" max="3" width="4" style="97" customWidth="1"/>
    <col min="4" max="4" width="3.85546875" style="97" customWidth="1"/>
    <col min="5" max="9" width="4" style="97" customWidth="1"/>
    <col min="10" max="11" width="3.85546875" style="97" customWidth="1"/>
    <col min="12" max="14" width="4.85546875" style="97" customWidth="1"/>
    <col min="15" max="15" width="4.42578125" style="97" customWidth="1"/>
    <col min="16" max="16" width="4.85546875" style="97" customWidth="1"/>
    <col min="17" max="18" width="4.42578125" style="97" customWidth="1"/>
    <col min="19" max="20" width="4.85546875" style="97" customWidth="1"/>
    <col min="21" max="21" width="4.42578125" style="97" customWidth="1"/>
    <col min="22" max="34" width="4.85546875" style="97" customWidth="1"/>
    <col min="35" max="35" width="5.85546875" style="97" customWidth="1"/>
    <col min="36" max="36" width="14.140625" style="97" customWidth="1"/>
    <col min="37" max="16384" width="9.140625" style="97"/>
  </cols>
  <sheetData>
    <row r="1" spans="1:36" x14ac:dyDescent="0.25">
      <c r="A1" s="538" t="s">
        <v>289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6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6" hidden="1" x14ac:dyDescent="0.25">
      <c r="B3" s="128" t="s">
        <v>147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2"/>
      <c r="AA3" s="140"/>
      <c r="AB3" s="140"/>
      <c r="AC3" s="140"/>
      <c r="AD3" s="140"/>
      <c r="AE3" s="140"/>
      <c r="AF3" s="140"/>
      <c r="AG3" s="140"/>
      <c r="AH3" s="140"/>
    </row>
    <row r="4" spans="1:36" x14ac:dyDescent="0.25">
      <c r="B4" s="130" t="s">
        <v>118</v>
      </c>
      <c r="C4" s="130">
        <v>1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28" t="s">
        <v>38</v>
      </c>
      <c r="AJ4" s="135" t="s">
        <v>257</v>
      </c>
    </row>
    <row r="5" spans="1:36" x14ac:dyDescent="0.25">
      <c r="A5" s="119" t="s">
        <v>1</v>
      </c>
      <c r="B5" s="119" t="s">
        <v>0</v>
      </c>
      <c r="C5" s="131" t="s">
        <v>13</v>
      </c>
      <c r="D5" s="131" t="s">
        <v>14</v>
      </c>
      <c r="E5" s="131" t="s">
        <v>15</v>
      </c>
      <c r="F5" s="131" t="s">
        <v>16</v>
      </c>
      <c r="G5" s="131" t="s">
        <v>17</v>
      </c>
      <c r="H5" s="131" t="s">
        <v>18</v>
      </c>
      <c r="I5" s="131" t="s">
        <v>19</v>
      </c>
      <c r="J5" s="131" t="s">
        <v>20</v>
      </c>
      <c r="K5" s="131" t="s">
        <v>21</v>
      </c>
      <c r="L5" s="131" t="s">
        <v>22</v>
      </c>
      <c r="M5" s="131" t="s">
        <v>81</v>
      </c>
      <c r="N5" s="131" t="s">
        <v>82</v>
      </c>
      <c r="O5" s="131" t="s">
        <v>143</v>
      </c>
      <c r="P5" s="131" t="s">
        <v>83</v>
      </c>
      <c r="Q5" s="131" t="s">
        <v>140</v>
      </c>
      <c r="R5" s="131" t="s">
        <v>141</v>
      </c>
      <c r="S5" s="131" t="s">
        <v>84</v>
      </c>
      <c r="T5" s="131" t="s">
        <v>85</v>
      </c>
      <c r="U5" s="131" t="s">
        <v>142</v>
      </c>
      <c r="V5" s="131" t="s">
        <v>86</v>
      </c>
      <c r="W5" s="131" t="s">
        <v>87</v>
      </c>
      <c r="X5" s="131" t="s">
        <v>88</v>
      </c>
      <c r="Y5" s="131" t="s">
        <v>89</v>
      </c>
      <c r="Z5" s="131" t="s">
        <v>90</v>
      </c>
      <c r="AA5" s="131" t="s">
        <v>95</v>
      </c>
      <c r="AB5" s="131" t="s">
        <v>146</v>
      </c>
      <c r="AC5" s="131" t="s">
        <v>91</v>
      </c>
      <c r="AD5" s="131" t="s">
        <v>92</v>
      </c>
      <c r="AE5" s="131" t="s">
        <v>93</v>
      </c>
      <c r="AF5" s="131" t="s">
        <v>94</v>
      </c>
      <c r="AG5" s="131" t="s">
        <v>144</v>
      </c>
      <c r="AH5" s="131" t="s">
        <v>145</v>
      </c>
      <c r="AI5" s="5">
        <f>SUM(C4:AH4)</f>
        <v>1</v>
      </c>
      <c r="AJ5" s="131">
        <v>0</v>
      </c>
    </row>
    <row r="6" spans="1:36" x14ac:dyDescent="0.25">
      <c r="A6" s="8">
        <f>'Students Names and ID'!B2</f>
        <v>0</v>
      </c>
      <c r="B6" s="8">
        <f>'Students Names and ID'!C2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3"/>
      <c r="AA6" s="132"/>
      <c r="AB6" s="132"/>
      <c r="AC6" s="132"/>
      <c r="AD6" s="132"/>
      <c r="AE6" s="132"/>
      <c r="AF6" s="132"/>
      <c r="AG6" s="132"/>
      <c r="AH6" s="132"/>
      <c r="AI6" s="190">
        <f>SUM(C6:AH6)</f>
        <v>0</v>
      </c>
      <c r="AJ6" s="136">
        <f>AI6*AJ$5/(AI$5)</f>
        <v>0</v>
      </c>
    </row>
    <row r="7" spans="1:36" x14ac:dyDescent="0.25">
      <c r="A7" s="8">
        <f>'Students Names and ID'!B3</f>
        <v>0</v>
      </c>
      <c r="B7" s="8">
        <f>'Students Names and ID'!C3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3"/>
      <c r="AA7" s="132"/>
      <c r="AB7" s="132"/>
      <c r="AC7" s="132"/>
      <c r="AD7" s="132"/>
      <c r="AE7" s="132"/>
      <c r="AF7" s="132"/>
      <c r="AG7" s="132"/>
      <c r="AH7" s="132"/>
      <c r="AI7" s="190">
        <f t="shared" ref="AI7:AI45" si="0">SUM(C7:AH7)</f>
        <v>0</v>
      </c>
      <c r="AJ7" s="136">
        <f t="shared" ref="AJ7:AJ45" si="1">AI7*AJ$5/(AI$5)</f>
        <v>0</v>
      </c>
    </row>
    <row r="8" spans="1:36" x14ac:dyDescent="0.25">
      <c r="A8" s="8">
        <f>'Students Names and ID'!B4</f>
        <v>0</v>
      </c>
      <c r="B8" s="8">
        <f>'Students Names and ID'!C4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3"/>
      <c r="AA8" s="132"/>
      <c r="AB8" s="132"/>
      <c r="AC8" s="132"/>
      <c r="AD8" s="132"/>
      <c r="AE8" s="132"/>
      <c r="AF8" s="132"/>
      <c r="AG8" s="132"/>
      <c r="AH8" s="132"/>
      <c r="AI8" s="190">
        <f t="shared" si="0"/>
        <v>0</v>
      </c>
      <c r="AJ8" s="136">
        <f t="shared" si="1"/>
        <v>0</v>
      </c>
    </row>
    <row r="9" spans="1:36" x14ac:dyDescent="0.25">
      <c r="A9" s="8">
        <f>'Students Names and ID'!B5</f>
        <v>0</v>
      </c>
      <c r="B9" s="8">
        <f>'Students Names and ID'!C5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3"/>
      <c r="AA9" s="132"/>
      <c r="AB9" s="132"/>
      <c r="AC9" s="132"/>
      <c r="AD9" s="132"/>
      <c r="AE9" s="132"/>
      <c r="AF9" s="132"/>
      <c r="AG9" s="132"/>
      <c r="AH9" s="132"/>
      <c r="AI9" s="190">
        <f t="shared" si="0"/>
        <v>0</v>
      </c>
      <c r="AJ9" s="136">
        <f t="shared" si="1"/>
        <v>0</v>
      </c>
    </row>
    <row r="10" spans="1:36" x14ac:dyDescent="0.25">
      <c r="A10" s="8">
        <f>'Students Names and ID'!B6</f>
        <v>0</v>
      </c>
      <c r="B10" s="8">
        <f>'Students Names and ID'!C6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90">
        <f t="shared" si="0"/>
        <v>0</v>
      </c>
      <c r="AJ10" s="136">
        <f t="shared" si="1"/>
        <v>0</v>
      </c>
    </row>
    <row r="11" spans="1:36" x14ac:dyDescent="0.25">
      <c r="A11" s="8">
        <f>'Students Names and ID'!B7</f>
        <v>0</v>
      </c>
      <c r="B11" s="8">
        <f>'Students Names and ID'!C7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3"/>
      <c r="AA11" s="132"/>
      <c r="AB11" s="132"/>
      <c r="AC11" s="132"/>
      <c r="AD11" s="132"/>
      <c r="AE11" s="132"/>
      <c r="AF11" s="132"/>
      <c r="AG11" s="132"/>
      <c r="AH11" s="132"/>
      <c r="AI11" s="190">
        <f t="shared" si="0"/>
        <v>0</v>
      </c>
      <c r="AJ11" s="136">
        <f t="shared" si="1"/>
        <v>0</v>
      </c>
    </row>
    <row r="12" spans="1:36" x14ac:dyDescent="0.25">
      <c r="A12" s="8">
        <f>'Students Names and ID'!B8</f>
        <v>0</v>
      </c>
      <c r="B12" s="8">
        <f>'Students Names and ID'!C8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3"/>
      <c r="AA12" s="132"/>
      <c r="AB12" s="132"/>
      <c r="AC12" s="132"/>
      <c r="AD12" s="132"/>
      <c r="AE12" s="132"/>
      <c r="AF12" s="132"/>
      <c r="AG12" s="132"/>
      <c r="AH12" s="132"/>
      <c r="AI12" s="190">
        <f t="shared" si="0"/>
        <v>0</v>
      </c>
      <c r="AJ12" s="136">
        <f t="shared" si="1"/>
        <v>0</v>
      </c>
    </row>
    <row r="13" spans="1:36" x14ac:dyDescent="0.25">
      <c r="A13" s="8">
        <f>'Students Names and ID'!B9</f>
        <v>0</v>
      </c>
      <c r="B13" s="8">
        <f>'Students Names and ID'!C9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90">
        <f t="shared" si="0"/>
        <v>0</v>
      </c>
      <c r="AJ13" s="136">
        <f t="shared" si="1"/>
        <v>0</v>
      </c>
    </row>
    <row r="14" spans="1:36" x14ac:dyDescent="0.25">
      <c r="A14" s="8">
        <f>'Students Names and ID'!B10</f>
        <v>0</v>
      </c>
      <c r="B14" s="8">
        <f>'Students Names and ID'!C10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90">
        <f t="shared" si="0"/>
        <v>0</v>
      </c>
      <c r="AJ14" s="136">
        <f t="shared" si="1"/>
        <v>0</v>
      </c>
    </row>
    <row r="15" spans="1:36" x14ac:dyDescent="0.25">
      <c r="A15" s="8">
        <f>'Students Names and ID'!B11</f>
        <v>0</v>
      </c>
      <c r="B15" s="8">
        <f>'Students Names and ID'!C11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3"/>
      <c r="AA15" s="132"/>
      <c r="AB15" s="132"/>
      <c r="AC15" s="132"/>
      <c r="AD15" s="132"/>
      <c r="AE15" s="132"/>
      <c r="AF15" s="132"/>
      <c r="AG15" s="132"/>
      <c r="AH15" s="132"/>
      <c r="AI15" s="190">
        <f t="shared" si="0"/>
        <v>0</v>
      </c>
      <c r="AJ15" s="136">
        <f t="shared" si="1"/>
        <v>0</v>
      </c>
    </row>
    <row r="16" spans="1:36" x14ac:dyDescent="0.25">
      <c r="A16" s="8">
        <f>'Students Names and ID'!B12</f>
        <v>0</v>
      </c>
      <c r="B16" s="8">
        <f>'Students Names and ID'!C12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3"/>
      <c r="AA16" s="132"/>
      <c r="AB16" s="132"/>
      <c r="AC16" s="132"/>
      <c r="AD16" s="132"/>
      <c r="AE16" s="132"/>
      <c r="AF16" s="132"/>
      <c r="AG16" s="132"/>
      <c r="AH16" s="132"/>
      <c r="AI16" s="190">
        <f t="shared" si="0"/>
        <v>0</v>
      </c>
      <c r="AJ16" s="136">
        <f t="shared" si="1"/>
        <v>0</v>
      </c>
    </row>
    <row r="17" spans="1:36" x14ac:dyDescent="0.25">
      <c r="A17" s="8">
        <f>'Students Names and ID'!B13</f>
        <v>0</v>
      </c>
      <c r="B17" s="8">
        <f>'Students Names and ID'!C13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3"/>
      <c r="AA17" s="132"/>
      <c r="AB17" s="132"/>
      <c r="AC17" s="132"/>
      <c r="AD17" s="132"/>
      <c r="AE17" s="132"/>
      <c r="AF17" s="132"/>
      <c r="AG17" s="132"/>
      <c r="AH17" s="132"/>
      <c r="AI17" s="190">
        <f t="shared" si="0"/>
        <v>0</v>
      </c>
      <c r="AJ17" s="136">
        <f t="shared" si="1"/>
        <v>0</v>
      </c>
    </row>
    <row r="18" spans="1:36" x14ac:dyDescent="0.25">
      <c r="A18" s="8">
        <f>'Students Names and ID'!B14</f>
        <v>0</v>
      </c>
      <c r="B18" s="8">
        <f>'Students Names and ID'!C14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90">
        <f t="shared" si="0"/>
        <v>0</v>
      </c>
      <c r="AJ18" s="136">
        <f t="shared" si="1"/>
        <v>0</v>
      </c>
    </row>
    <row r="19" spans="1:36" x14ac:dyDescent="0.25">
      <c r="A19" s="8">
        <f>'Students Names and ID'!B15</f>
        <v>0</v>
      </c>
      <c r="B19" s="8">
        <f>'Students Names and ID'!C15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3"/>
      <c r="AA19" s="132"/>
      <c r="AB19" s="132"/>
      <c r="AC19" s="132"/>
      <c r="AD19" s="132"/>
      <c r="AE19" s="132"/>
      <c r="AF19" s="132"/>
      <c r="AG19" s="132"/>
      <c r="AH19" s="132"/>
      <c r="AI19" s="190">
        <f t="shared" si="0"/>
        <v>0</v>
      </c>
      <c r="AJ19" s="136">
        <f t="shared" si="1"/>
        <v>0</v>
      </c>
    </row>
    <row r="20" spans="1:36" x14ac:dyDescent="0.25">
      <c r="A20" s="8">
        <f>'Students Names and ID'!B16</f>
        <v>0</v>
      </c>
      <c r="B20" s="8">
        <f>'Students Names and ID'!C16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90">
        <f t="shared" si="0"/>
        <v>0</v>
      </c>
      <c r="AJ20" s="136">
        <f t="shared" si="1"/>
        <v>0</v>
      </c>
    </row>
    <row r="21" spans="1:36" x14ac:dyDescent="0.25">
      <c r="A21" s="8">
        <f>'Students Names and ID'!B17</f>
        <v>0</v>
      </c>
      <c r="B21" s="8">
        <f>'Students Names and ID'!C17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3"/>
      <c r="AA21" s="132"/>
      <c r="AB21" s="132"/>
      <c r="AC21" s="132"/>
      <c r="AD21" s="132"/>
      <c r="AE21" s="132"/>
      <c r="AF21" s="132"/>
      <c r="AG21" s="132"/>
      <c r="AH21" s="132"/>
      <c r="AI21" s="190">
        <f t="shared" si="0"/>
        <v>0</v>
      </c>
      <c r="AJ21" s="136">
        <f t="shared" si="1"/>
        <v>0</v>
      </c>
    </row>
    <row r="22" spans="1:36" x14ac:dyDescent="0.25">
      <c r="A22" s="8">
        <f>'Students Names and ID'!B18</f>
        <v>0</v>
      </c>
      <c r="B22" s="8">
        <f>'Students Names and ID'!C18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3"/>
      <c r="AA22" s="132"/>
      <c r="AB22" s="132"/>
      <c r="AC22" s="132"/>
      <c r="AD22" s="132"/>
      <c r="AE22" s="132"/>
      <c r="AF22" s="132"/>
      <c r="AG22" s="132"/>
      <c r="AH22" s="132"/>
      <c r="AI22" s="190">
        <f t="shared" si="0"/>
        <v>0</v>
      </c>
      <c r="AJ22" s="136">
        <f t="shared" si="1"/>
        <v>0</v>
      </c>
    </row>
    <row r="23" spans="1:36" x14ac:dyDescent="0.25">
      <c r="A23" s="8">
        <f>'Students Names and ID'!B19</f>
        <v>0</v>
      </c>
      <c r="B23" s="8">
        <f>'Students Names and ID'!C19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90">
        <f t="shared" si="0"/>
        <v>0</v>
      </c>
      <c r="AJ23" s="136">
        <f t="shared" si="1"/>
        <v>0</v>
      </c>
    </row>
    <row r="24" spans="1:36" x14ac:dyDescent="0.25">
      <c r="A24" s="8">
        <f>'Students Names and ID'!B20</f>
        <v>0</v>
      </c>
      <c r="B24" s="8">
        <f>'Students Names and ID'!C20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90">
        <f t="shared" si="0"/>
        <v>0</v>
      </c>
      <c r="AJ24" s="136">
        <f t="shared" si="1"/>
        <v>0</v>
      </c>
    </row>
    <row r="25" spans="1:36" x14ac:dyDescent="0.25">
      <c r="A25" s="8">
        <f>'Students Names and ID'!B21</f>
        <v>0</v>
      </c>
      <c r="B25" s="8">
        <f>'Students Names and ID'!C21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90">
        <f t="shared" si="0"/>
        <v>0</v>
      </c>
      <c r="AJ25" s="136">
        <f t="shared" si="1"/>
        <v>0</v>
      </c>
    </row>
    <row r="26" spans="1:36" x14ac:dyDescent="0.25">
      <c r="A26" s="8">
        <f>'Students Names and ID'!B22</f>
        <v>0</v>
      </c>
      <c r="B26" s="8">
        <f>'Students Names and ID'!C22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3"/>
      <c r="AA26" s="132"/>
      <c r="AB26" s="132"/>
      <c r="AC26" s="132"/>
      <c r="AD26" s="132"/>
      <c r="AE26" s="132"/>
      <c r="AF26" s="132"/>
      <c r="AG26" s="132"/>
      <c r="AH26" s="132"/>
      <c r="AI26" s="190">
        <f t="shared" si="0"/>
        <v>0</v>
      </c>
      <c r="AJ26" s="136">
        <f t="shared" si="1"/>
        <v>0</v>
      </c>
    </row>
    <row r="27" spans="1:36" x14ac:dyDescent="0.25">
      <c r="A27" s="8">
        <f>'Students Names and ID'!B23</f>
        <v>0</v>
      </c>
      <c r="B27" s="8">
        <f>'Students Names and ID'!C23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3"/>
      <c r="AA27" s="132"/>
      <c r="AB27" s="132"/>
      <c r="AC27" s="132"/>
      <c r="AD27" s="132"/>
      <c r="AE27" s="132"/>
      <c r="AF27" s="132"/>
      <c r="AG27" s="132"/>
      <c r="AH27" s="132"/>
      <c r="AI27" s="190">
        <f t="shared" si="0"/>
        <v>0</v>
      </c>
      <c r="AJ27" s="136">
        <f t="shared" si="1"/>
        <v>0</v>
      </c>
    </row>
    <row r="28" spans="1:36" x14ac:dyDescent="0.25">
      <c r="A28" s="8">
        <f>'Students Names and ID'!B24</f>
        <v>0</v>
      </c>
      <c r="B28" s="8">
        <f>'Students Names and ID'!C24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3"/>
      <c r="AA28" s="132"/>
      <c r="AB28" s="132"/>
      <c r="AC28" s="132"/>
      <c r="AD28" s="132"/>
      <c r="AE28" s="132"/>
      <c r="AF28" s="132"/>
      <c r="AG28" s="132"/>
      <c r="AH28" s="132"/>
      <c r="AI28" s="190">
        <f t="shared" si="0"/>
        <v>0</v>
      </c>
      <c r="AJ28" s="136">
        <f t="shared" si="1"/>
        <v>0</v>
      </c>
    </row>
    <row r="29" spans="1:36" x14ac:dyDescent="0.25">
      <c r="A29" s="8">
        <f>'Students Names and ID'!B25</f>
        <v>0</v>
      </c>
      <c r="B29" s="8">
        <f>'Students Names and ID'!C25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90">
        <f t="shared" si="0"/>
        <v>0</v>
      </c>
      <c r="AJ29" s="136">
        <f t="shared" si="1"/>
        <v>0</v>
      </c>
    </row>
    <row r="30" spans="1:36" x14ac:dyDescent="0.25">
      <c r="A30" s="8">
        <f>'Students Names and ID'!B26</f>
        <v>0</v>
      </c>
      <c r="B30" s="8">
        <f>'Students Names and ID'!C26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90">
        <f t="shared" si="0"/>
        <v>0</v>
      </c>
      <c r="AJ30" s="136">
        <f t="shared" si="1"/>
        <v>0</v>
      </c>
    </row>
    <row r="31" spans="1:36" x14ac:dyDescent="0.25">
      <c r="A31" s="8">
        <f>'Students Names and ID'!B27</f>
        <v>0</v>
      </c>
      <c r="B31" s="8">
        <f>'Students Names and ID'!C27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90">
        <f t="shared" si="0"/>
        <v>0</v>
      </c>
      <c r="AJ31" s="136">
        <f t="shared" si="1"/>
        <v>0</v>
      </c>
    </row>
    <row r="32" spans="1:36" x14ac:dyDescent="0.25">
      <c r="A32" s="8">
        <f>'Students Names and ID'!B28</f>
        <v>0</v>
      </c>
      <c r="B32" s="8">
        <f>'Students Names and ID'!C28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90">
        <f t="shared" si="0"/>
        <v>0</v>
      </c>
      <c r="AJ32" s="136">
        <f t="shared" si="1"/>
        <v>0</v>
      </c>
    </row>
    <row r="33" spans="1:36" x14ac:dyDescent="0.25">
      <c r="A33" s="8">
        <f>'Students Names and ID'!B29</f>
        <v>0</v>
      </c>
      <c r="B33" s="8">
        <f>'Students Names and ID'!C29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90">
        <f t="shared" si="0"/>
        <v>0</v>
      </c>
      <c r="AJ33" s="136">
        <f t="shared" si="1"/>
        <v>0</v>
      </c>
    </row>
    <row r="34" spans="1:36" x14ac:dyDescent="0.25">
      <c r="A34" s="8">
        <f>'Students Names and ID'!B30</f>
        <v>0</v>
      </c>
      <c r="B34" s="8">
        <f>'Students Names and ID'!C30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90">
        <f t="shared" si="0"/>
        <v>0</v>
      </c>
      <c r="AJ34" s="136">
        <f t="shared" si="1"/>
        <v>0</v>
      </c>
    </row>
    <row r="35" spans="1:36" x14ac:dyDescent="0.25">
      <c r="A35" s="8">
        <f>'Students Names and ID'!B31</f>
        <v>0</v>
      </c>
      <c r="B35" s="8">
        <f>'Students Names and ID'!C31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90">
        <f t="shared" si="0"/>
        <v>0</v>
      </c>
      <c r="AJ35" s="136">
        <f t="shared" si="1"/>
        <v>0</v>
      </c>
    </row>
    <row r="36" spans="1:36" x14ac:dyDescent="0.25">
      <c r="A36" s="8">
        <f>'Students Names and ID'!B32</f>
        <v>0</v>
      </c>
      <c r="B36" s="8">
        <f>'Students Names and ID'!C32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90">
        <f t="shared" si="0"/>
        <v>0</v>
      </c>
      <c r="AJ36" s="136">
        <f t="shared" si="1"/>
        <v>0</v>
      </c>
    </row>
    <row r="37" spans="1:36" x14ac:dyDescent="0.25">
      <c r="A37" s="8">
        <f>'Students Names and ID'!B33</f>
        <v>0</v>
      </c>
      <c r="B37" s="8">
        <f>'Students Names and ID'!C33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90">
        <f t="shared" si="0"/>
        <v>0</v>
      </c>
      <c r="AJ37" s="136">
        <f t="shared" si="1"/>
        <v>0</v>
      </c>
    </row>
    <row r="38" spans="1:36" x14ac:dyDescent="0.25">
      <c r="A38" s="8">
        <f>'Students Names and ID'!B34</f>
        <v>0</v>
      </c>
      <c r="B38" s="8">
        <f>'Students Names and ID'!C34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90">
        <f t="shared" si="0"/>
        <v>0</v>
      </c>
      <c r="AJ38" s="136">
        <f t="shared" si="1"/>
        <v>0</v>
      </c>
    </row>
    <row r="39" spans="1:36" x14ac:dyDescent="0.25">
      <c r="A39" s="8">
        <f>'Students Names and ID'!B35</f>
        <v>0</v>
      </c>
      <c r="B39" s="8">
        <f>'Students Names and ID'!C35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90">
        <f t="shared" si="0"/>
        <v>0</v>
      </c>
      <c r="AJ39" s="136">
        <f t="shared" si="1"/>
        <v>0</v>
      </c>
    </row>
    <row r="40" spans="1:36" x14ac:dyDescent="0.25">
      <c r="A40" s="8">
        <f>'Students Names and ID'!B36</f>
        <v>0</v>
      </c>
      <c r="B40" s="8">
        <f>'Students Names and ID'!C36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90">
        <f t="shared" si="0"/>
        <v>0</v>
      </c>
      <c r="AJ40" s="136">
        <f t="shared" si="1"/>
        <v>0</v>
      </c>
    </row>
    <row r="41" spans="1:36" x14ac:dyDescent="0.25">
      <c r="A41" s="8">
        <f>'Students Names and ID'!B37</f>
        <v>0</v>
      </c>
      <c r="B41" s="8">
        <f>'Students Names and ID'!C37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90">
        <f t="shared" si="0"/>
        <v>0</v>
      </c>
      <c r="AJ41" s="136">
        <f t="shared" si="1"/>
        <v>0</v>
      </c>
    </row>
    <row r="42" spans="1:36" x14ac:dyDescent="0.25">
      <c r="A42" s="8">
        <f>'Students Names and ID'!B38</f>
        <v>0</v>
      </c>
      <c r="B42" s="8">
        <f>'Students Names and ID'!C38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90">
        <f t="shared" si="0"/>
        <v>0</v>
      </c>
      <c r="AJ42" s="136">
        <f t="shared" si="1"/>
        <v>0</v>
      </c>
    </row>
    <row r="43" spans="1:36" x14ac:dyDescent="0.25">
      <c r="A43" s="8">
        <f>'Students Names and ID'!B39</f>
        <v>0</v>
      </c>
      <c r="B43" s="8">
        <f>'Students Names and ID'!C39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90">
        <f t="shared" si="0"/>
        <v>0</v>
      </c>
      <c r="AJ43" s="136">
        <f t="shared" si="1"/>
        <v>0</v>
      </c>
    </row>
    <row r="44" spans="1:36" x14ac:dyDescent="0.25">
      <c r="A44" s="8">
        <f>'Students Names and ID'!B40</f>
        <v>0</v>
      </c>
      <c r="B44" s="8">
        <f>'Students Names and ID'!C40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90">
        <f t="shared" si="0"/>
        <v>0</v>
      </c>
      <c r="AJ44" s="136">
        <f t="shared" si="1"/>
        <v>0</v>
      </c>
    </row>
    <row r="45" spans="1:36" x14ac:dyDescent="0.25">
      <c r="A45" s="8">
        <f>'Students Names and ID'!B41</f>
        <v>0</v>
      </c>
      <c r="B45" s="8">
        <f>'Students Names and ID'!C41</f>
        <v>0</v>
      </c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90">
        <f t="shared" si="0"/>
        <v>0</v>
      </c>
      <c r="AJ45" s="136">
        <f t="shared" si="1"/>
        <v>0</v>
      </c>
    </row>
    <row r="46" spans="1:36" x14ac:dyDescent="0.25">
      <c r="B46" s="128" t="s">
        <v>37</v>
      </c>
      <c r="C46" s="137" t="str">
        <f>IF(COUNTBLANK(C6:C45)=40," ",AVERAGE(C6:C45))</f>
        <v xml:space="preserve"> </v>
      </c>
      <c r="D46" s="137" t="str">
        <f t="shared" ref="D46:AF46" si="2">IF(COUNTBLANK(D6:D45)=40," ",AVERAGE(D6:D45))</f>
        <v xml:space="preserve"> </v>
      </c>
      <c r="E46" s="137" t="str">
        <f t="shared" si="2"/>
        <v xml:space="preserve"> </v>
      </c>
      <c r="F46" s="137" t="str">
        <f t="shared" si="2"/>
        <v xml:space="preserve"> </v>
      </c>
      <c r="G46" s="137" t="str">
        <f t="shared" si="2"/>
        <v xml:space="preserve"> </v>
      </c>
      <c r="H46" s="137" t="str">
        <f t="shared" si="2"/>
        <v xml:space="preserve"> </v>
      </c>
      <c r="I46" s="137" t="str">
        <f t="shared" si="2"/>
        <v xml:space="preserve"> </v>
      </c>
      <c r="J46" s="137" t="str">
        <f t="shared" si="2"/>
        <v xml:space="preserve"> </v>
      </c>
      <c r="K46" s="137" t="str">
        <f t="shared" si="2"/>
        <v xml:space="preserve"> </v>
      </c>
      <c r="L46" s="137" t="str">
        <f t="shared" si="2"/>
        <v xml:space="preserve"> </v>
      </c>
      <c r="M46" s="137" t="str">
        <f t="shared" si="2"/>
        <v xml:space="preserve"> </v>
      </c>
      <c r="N46" s="137" t="str">
        <f t="shared" si="2"/>
        <v xml:space="preserve"> </v>
      </c>
      <c r="O46" s="137" t="str">
        <f t="shared" si="2"/>
        <v xml:space="preserve"> </v>
      </c>
      <c r="P46" s="137" t="str">
        <f t="shared" si="2"/>
        <v xml:space="preserve"> </v>
      </c>
      <c r="Q46" s="137" t="str">
        <f t="shared" si="2"/>
        <v xml:space="preserve"> </v>
      </c>
      <c r="R46" s="137" t="str">
        <f t="shared" si="2"/>
        <v xml:space="preserve"> </v>
      </c>
      <c r="S46" s="137" t="str">
        <f t="shared" si="2"/>
        <v xml:space="preserve"> </v>
      </c>
      <c r="T46" s="137" t="str">
        <f t="shared" si="2"/>
        <v xml:space="preserve"> </v>
      </c>
      <c r="U46" s="137" t="str">
        <f t="shared" si="2"/>
        <v xml:space="preserve"> </v>
      </c>
      <c r="V46" s="137" t="str">
        <f t="shared" si="2"/>
        <v xml:space="preserve"> </v>
      </c>
      <c r="W46" s="137" t="str">
        <f t="shared" si="2"/>
        <v xml:space="preserve"> </v>
      </c>
      <c r="X46" s="137" t="str">
        <f t="shared" si="2"/>
        <v xml:space="preserve"> </v>
      </c>
      <c r="Y46" s="137" t="str">
        <f t="shared" si="2"/>
        <v xml:space="preserve"> </v>
      </c>
      <c r="Z46" s="137" t="str">
        <f t="shared" si="2"/>
        <v xml:space="preserve"> </v>
      </c>
      <c r="AA46" s="137" t="str">
        <f t="shared" si="2"/>
        <v xml:space="preserve"> </v>
      </c>
      <c r="AB46" s="137" t="str">
        <f t="shared" si="2"/>
        <v xml:space="preserve"> </v>
      </c>
      <c r="AC46" s="137" t="str">
        <f t="shared" si="2"/>
        <v xml:space="preserve"> </v>
      </c>
      <c r="AD46" s="137" t="str">
        <f t="shared" si="2"/>
        <v xml:space="preserve"> </v>
      </c>
      <c r="AE46" s="137" t="str">
        <f t="shared" si="2"/>
        <v xml:space="preserve"> </v>
      </c>
      <c r="AF46" s="137" t="str">
        <f t="shared" si="2"/>
        <v xml:space="preserve"> </v>
      </c>
      <c r="AG46" s="137" t="str">
        <f>IF(COUNTBLANK(AG6:AG45)=40," ",AVERAGE(AG6:AG45))</f>
        <v xml:space="preserve"> </v>
      </c>
      <c r="AH46" s="137" t="str">
        <f>IF(COUNTBLANK(AH6:AH45)=40," ",AVERAGE(AH6:AH45))</f>
        <v xml:space="preserve"> </v>
      </c>
      <c r="AI46" s="5">
        <f>IF(COUNTBLANK(AI6:AI45)=40," ",AVERAGE(AI6:AI45))</f>
        <v>0</v>
      </c>
      <c r="AJ46" s="92">
        <f>IF(COUNTBLANK(AJ6:AJ45)=40," ",AVERAGE(AJ6:AJ45))</f>
        <v>0</v>
      </c>
    </row>
    <row r="47" spans="1:36" x14ac:dyDescent="0.25">
      <c r="B47" s="128" t="s">
        <v>42</v>
      </c>
      <c r="C47" s="5" t="str">
        <f t="shared" ref="C47:AH47" si="3">IF(C46="","",IF(ISERROR(ROUND(C46*10/C4,1))," ",(ROUND(C46*10/C4,1))))</f>
        <v xml:space="preserve"> </v>
      </c>
      <c r="D47" s="5" t="str">
        <f t="shared" si="3"/>
        <v xml:space="preserve"> </v>
      </c>
      <c r="E47" s="5" t="str">
        <f t="shared" si="3"/>
        <v xml:space="preserve"> </v>
      </c>
      <c r="F47" s="5" t="str">
        <f t="shared" si="3"/>
        <v xml:space="preserve"> </v>
      </c>
      <c r="G47" s="5" t="str">
        <f t="shared" si="3"/>
        <v xml:space="preserve"> </v>
      </c>
      <c r="H47" s="5" t="str">
        <f t="shared" si="3"/>
        <v xml:space="preserve"> </v>
      </c>
      <c r="I47" s="5" t="str">
        <f t="shared" si="3"/>
        <v xml:space="preserve"> </v>
      </c>
      <c r="J47" s="5" t="str">
        <f t="shared" si="3"/>
        <v xml:space="preserve"> </v>
      </c>
      <c r="K47" s="5" t="str">
        <f t="shared" si="3"/>
        <v xml:space="preserve"> </v>
      </c>
      <c r="L47" s="5" t="str">
        <f t="shared" si="3"/>
        <v xml:space="preserve"> </v>
      </c>
      <c r="M47" s="5" t="str">
        <f t="shared" si="3"/>
        <v xml:space="preserve"> </v>
      </c>
      <c r="N47" s="5" t="str">
        <f t="shared" si="3"/>
        <v xml:space="preserve"> </v>
      </c>
      <c r="O47" s="5" t="str">
        <f t="shared" si="3"/>
        <v xml:space="preserve"> </v>
      </c>
      <c r="P47" s="5" t="str">
        <f t="shared" si="3"/>
        <v xml:space="preserve"> </v>
      </c>
      <c r="Q47" s="5" t="str">
        <f t="shared" si="3"/>
        <v xml:space="preserve"> </v>
      </c>
      <c r="R47" s="5" t="str">
        <f t="shared" si="3"/>
        <v xml:space="preserve"> </v>
      </c>
      <c r="S47" s="5" t="str">
        <f t="shared" si="3"/>
        <v xml:space="preserve"> </v>
      </c>
      <c r="T47" s="5" t="str">
        <f t="shared" si="3"/>
        <v xml:space="preserve"> </v>
      </c>
      <c r="U47" s="5" t="str">
        <f t="shared" si="3"/>
        <v xml:space="preserve"> </v>
      </c>
      <c r="V47" s="5" t="str">
        <f t="shared" si="3"/>
        <v xml:space="preserve"> </v>
      </c>
      <c r="W47" s="5" t="str">
        <f t="shared" si="3"/>
        <v xml:space="preserve"> </v>
      </c>
      <c r="X47" s="5" t="str">
        <f t="shared" si="3"/>
        <v xml:space="preserve"> </v>
      </c>
      <c r="Y47" s="5" t="str">
        <f t="shared" si="3"/>
        <v xml:space="preserve"> </v>
      </c>
      <c r="Z47" s="5" t="str">
        <f t="shared" si="3"/>
        <v xml:space="preserve"> </v>
      </c>
      <c r="AA47" s="5" t="str">
        <f t="shared" si="3"/>
        <v xml:space="preserve"> </v>
      </c>
      <c r="AB47" s="5" t="str">
        <f t="shared" si="3"/>
        <v xml:space="preserve"> </v>
      </c>
      <c r="AC47" s="5" t="str">
        <f t="shared" si="3"/>
        <v xml:space="preserve"> </v>
      </c>
      <c r="AD47" s="5" t="str">
        <f t="shared" si="3"/>
        <v xml:space="preserve"> </v>
      </c>
      <c r="AE47" s="5" t="str">
        <f t="shared" si="3"/>
        <v xml:space="preserve"> </v>
      </c>
      <c r="AF47" s="5" t="str">
        <f t="shared" si="3"/>
        <v xml:space="preserve"> </v>
      </c>
      <c r="AG47" s="5" t="str">
        <f t="shared" si="3"/>
        <v xml:space="preserve"> </v>
      </c>
      <c r="AH47" s="5" t="str">
        <f t="shared" si="3"/>
        <v xml:space="preserve"> </v>
      </c>
      <c r="AI47" s="5">
        <f>IF(AI46="","",IF(ISERROR(ROUND(AI46*10/AI5,1))," ",(ROUND(AI46*10/AI5,1))))</f>
        <v>0</v>
      </c>
      <c r="AJ47" s="5" t="str">
        <f>IF(AJ46="","",IF(ISERROR(ROUND(AJ46*10/AJ5,1))," ",(ROUND(AJ46*10/AJ5,1))))</f>
        <v xml:space="preserve"> </v>
      </c>
    </row>
  </sheetData>
  <mergeCells count="1">
    <mergeCell ref="A1:A2"/>
  </mergeCells>
  <pageMargins left="0.7" right="0.7" top="0.75" bottom="0.75" header="0.3" footer="0.3"/>
  <pageSetup paperSize="9" scale="6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C000"/>
    <pageSetUpPr fitToPage="1"/>
  </sheetPr>
  <dimension ref="A1:N81"/>
  <sheetViews>
    <sheetView zoomScale="85" zoomScaleNormal="85" workbookViewId="0">
      <selection sqref="A1:A2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9.140625" style="97" customWidth="1"/>
    <col min="4" max="12" width="9.140625" style="97"/>
    <col min="13" max="13" width="17.85546875" style="97" customWidth="1"/>
    <col min="14" max="14" width="18.28515625" style="97" customWidth="1"/>
    <col min="15" max="16384" width="9.140625" style="97"/>
  </cols>
  <sheetData>
    <row r="1" spans="1:14" x14ac:dyDescent="0.25">
      <c r="A1" s="538" t="s">
        <v>472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2" spans="1:14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4" x14ac:dyDescent="0.25">
      <c r="B3" s="129" t="s">
        <v>12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28" t="s">
        <v>39</v>
      </c>
      <c r="N3" s="128" t="s">
        <v>257</v>
      </c>
    </row>
    <row r="4" spans="1:14" x14ac:dyDescent="0.25">
      <c r="A4" s="119" t="s">
        <v>1</v>
      </c>
      <c r="B4" s="119" t="s">
        <v>0</v>
      </c>
      <c r="C4" s="131" t="s">
        <v>107</v>
      </c>
      <c r="D4" s="131" t="s">
        <v>108</v>
      </c>
      <c r="E4" s="131" t="s">
        <v>109</v>
      </c>
      <c r="F4" s="131" t="s">
        <v>110</v>
      </c>
      <c r="G4" s="131" t="s">
        <v>111</v>
      </c>
      <c r="H4" s="131" t="s">
        <v>112</v>
      </c>
      <c r="I4" s="131" t="s">
        <v>113</v>
      </c>
      <c r="J4" s="131" t="s">
        <v>114</v>
      </c>
      <c r="K4" s="131" t="s">
        <v>115</v>
      </c>
      <c r="L4" s="131" t="s">
        <v>116</v>
      </c>
      <c r="M4" s="131">
        <f>SUM(C3:L3)</f>
        <v>1</v>
      </c>
      <c r="N4" s="131">
        <v>0</v>
      </c>
    </row>
    <row r="5" spans="1:14" x14ac:dyDescent="0.25">
      <c r="A5" s="134">
        <f>'Students Names and ID'!B2</f>
        <v>0</v>
      </c>
      <c r="B5" s="134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9">
        <f t="shared" ref="M5:M44" si="0">SUM(C5:L5)</f>
        <v>0</v>
      </c>
      <c r="N5" s="136">
        <f>M5*N4/M4</f>
        <v>0</v>
      </c>
    </row>
    <row r="6" spans="1:14" x14ac:dyDescent="0.25">
      <c r="A6" s="134">
        <f>'Students Names and ID'!B3</f>
        <v>0</v>
      </c>
      <c r="B6" s="134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9">
        <f t="shared" si="0"/>
        <v>0</v>
      </c>
      <c r="N6" s="136">
        <f>M6*N4/M4</f>
        <v>0</v>
      </c>
    </row>
    <row r="7" spans="1:14" x14ac:dyDescent="0.25">
      <c r="A7" s="134">
        <f>'Students Names and ID'!B4</f>
        <v>0</v>
      </c>
      <c r="B7" s="134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9">
        <f t="shared" si="0"/>
        <v>0</v>
      </c>
      <c r="N7" s="136">
        <f>M7*N4/M4</f>
        <v>0</v>
      </c>
    </row>
    <row r="8" spans="1:14" x14ac:dyDescent="0.25">
      <c r="A8" s="134">
        <f>'Students Names and ID'!B5</f>
        <v>0</v>
      </c>
      <c r="B8" s="134">
        <f>'Students Names and ID'!C5</f>
        <v>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9">
        <f t="shared" si="0"/>
        <v>0</v>
      </c>
      <c r="N8" s="136">
        <f>M8*N4/M4</f>
        <v>0</v>
      </c>
    </row>
    <row r="9" spans="1:14" x14ac:dyDescent="0.25">
      <c r="A9" s="134">
        <f>'Students Names and ID'!B6</f>
        <v>0</v>
      </c>
      <c r="B9" s="134">
        <f>'Students Names and ID'!C6</f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9">
        <f t="shared" si="0"/>
        <v>0</v>
      </c>
      <c r="N9" s="136">
        <f>M9*N4/M4</f>
        <v>0</v>
      </c>
    </row>
    <row r="10" spans="1:14" x14ac:dyDescent="0.25">
      <c r="A10" s="134">
        <f>'Students Names and ID'!B7</f>
        <v>0</v>
      </c>
      <c r="B10" s="134">
        <f>'Students Names and ID'!C7</f>
        <v>0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9">
        <f t="shared" si="0"/>
        <v>0</v>
      </c>
      <c r="N10" s="136">
        <f>M10*N4/M4</f>
        <v>0</v>
      </c>
    </row>
    <row r="11" spans="1:14" x14ac:dyDescent="0.25">
      <c r="A11" s="134">
        <f>'Students Names and ID'!B8</f>
        <v>0</v>
      </c>
      <c r="B11" s="134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9">
        <f t="shared" si="0"/>
        <v>0</v>
      </c>
      <c r="N11" s="136">
        <f>M11*N4/M4</f>
        <v>0</v>
      </c>
    </row>
    <row r="12" spans="1:14" x14ac:dyDescent="0.25">
      <c r="A12" s="134">
        <f>'Students Names and ID'!B9</f>
        <v>0</v>
      </c>
      <c r="B12" s="134">
        <f>'Students Names and ID'!C9</f>
        <v>0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9">
        <f t="shared" si="0"/>
        <v>0</v>
      </c>
      <c r="N12" s="136">
        <f>M12*N4/M4</f>
        <v>0</v>
      </c>
    </row>
    <row r="13" spans="1:14" x14ac:dyDescent="0.25">
      <c r="A13" s="134">
        <f>'Students Names and ID'!B10</f>
        <v>0</v>
      </c>
      <c r="B13" s="134">
        <f>'Students Names and ID'!C10</f>
        <v>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9">
        <f t="shared" si="0"/>
        <v>0</v>
      </c>
      <c r="N13" s="136">
        <f>M13*N4/M4</f>
        <v>0</v>
      </c>
    </row>
    <row r="14" spans="1:14" x14ac:dyDescent="0.25">
      <c r="A14" s="134">
        <f>'Students Names and ID'!B11</f>
        <v>0</v>
      </c>
      <c r="B14" s="134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9">
        <f t="shared" si="0"/>
        <v>0</v>
      </c>
      <c r="N14" s="136">
        <f>M14*N4/M4</f>
        <v>0</v>
      </c>
    </row>
    <row r="15" spans="1:14" x14ac:dyDescent="0.25">
      <c r="A15" s="134">
        <f>'Students Names and ID'!B12</f>
        <v>0</v>
      </c>
      <c r="B15" s="134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9">
        <f t="shared" si="0"/>
        <v>0</v>
      </c>
      <c r="N15" s="136">
        <f>M15*N4/M4</f>
        <v>0</v>
      </c>
    </row>
    <row r="16" spans="1:14" x14ac:dyDescent="0.25">
      <c r="A16" s="134">
        <f>'Students Names and ID'!B13</f>
        <v>0</v>
      </c>
      <c r="B16" s="134">
        <f>'Students Names and ID'!C13</f>
        <v>0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9">
        <f t="shared" si="0"/>
        <v>0</v>
      </c>
      <c r="N16" s="136">
        <f>M16*N4/M4</f>
        <v>0</v>
      </c>
    </row>
    <row r="17" spans="1:14" x14ac:dyDescent="0.25">
      <c r="A17" s="134">
        <f>'Students Names and ID'!B14</f>
        <v>0</v>
      </c>
      <c r="B17" s="134">
        <f>'Students Names and ID'!C14</f>
        <v>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9">
        <f t="shared" si="0"/>
        <v>0</v>
      </c>
      <c r="N17" s="136">
        <f>M17*N4/M4</f>
        <v>0</v>
      </c>
    </row>
    <row r="18" spans="1:14" x14ac:dyDescent="0.25">
      <c r="A18" s="134">
        <f>'Students Names and ID'!B15</f>
        <v>0</v>
      </c>
      <c r="B18" s="134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9">
        <f t="shared" si="0"/>
        <v>0</v>
      </c>
      <c r="N18" s="136">
        <f>M18*N4/M4</f>
        <v>0</v>
      </c>
    </row>
    <row r="19" spans="1:14" x14ac:dyDescent="0.25">
      <c r="A19" s="134">
        <f>'Students Names and ID'!B16</f>
        <v>0</v>
      </c>
      <c r="B19" s="134">
        <f>'Students Names and ID'!C16</f>
        <v>0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9">
        <f t="shared" si="0"/>
        <v>0</v>
      </c>
      <c r="N19" s="136">
        <f>M19*N4/M4</f>
        <v>0</v>
      </c>
    </row>
    <row r="20" spans="1:14" x14ac:dyDescent="0.25">
      <c r="A20" s="134">
        <f>'Students Names and ID'!B17</f>
        <v>0</v>
      </c>
      <c r="B20" s="134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9">
        <f t="shared" si="0"/>
        <v>0</v>
      </c>
      <c r="N20" s="136">
        <f>M20*N4/M4</f>
        <v>0</v>
      </c>
    </row>
    <row r="21" spans="1:14" x14ac:dyDescent="0.25">
      <c r="A21" s="134">
        <f>'Students Names and ID'!B18</f>
        <v>0</v>
      </c>
      <c r="B21" s="134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9">
        <f t="shared" si="0"/>
        <v>0</v>
      </c>
      <c r="N21" s="136">
        <f>M21*N4/M4</f>
        <v>0</v>
      </c>
    </row>
    <row r="22" spans="1:14" x14ac:dyDescent="0.25">
      <c r="A22" s="134">
        <f>'Students Names and ID'!B19</f>
        <v>0</v>
      </c>
      <c r="B22" s="134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9">
        <f t="shared" si="0"/>
        <v>0</v>
      </c>
      <c r="N22" s="136">
        <f>M22*N4/M4</f>
        <v>0</v>
      </c>
    </row>
    <row r="23" spans="1:14" x14ac:dyDescent="0.25">
      <c r="A23" s="134">
        <f>'Students Names and ID'!B20</f>
        <v>0</v>
      </c>
      <c r="B23" s="134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9">
        <f t="shared" si="0"/>
        <v>0</v>
      </c>
      <c r="N23" s="136">
        <f>M23*N4/M4</f>
        <v>0</v>
      </c>
    </row>
    <row r="24" spans="1:14" x14ac:dyDescent="0.25">
      <c r="A24" s="134">
        <f>'Students Names and ID'!B21</f>
        <v>0</v>
      </c>
      <c r="B24" s="134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9">
        <f t="shared" si="0"/>
        <v>0</v>
      </c>
      <c r="N24" s="136">
        <f>M24*N4/M4</f>
        <v>0</v>
      </c>
    </row>
    <row r="25" spans="1:14" x14ac:dyDescent="0.25">
      <c r="A25" s="134">
        <f>'Students Names and ID'!B22</f>
        <v>0</v>
      </c>
      <c r="B25" s="134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9">
        <f t="shared" si="0"/>
        <v>0</v>
      </c>
      <c r="N25" s="136">
        <f>M25*N4/M4</f>
        <v>0</v>
      </c>
    </row>
    <row r="26" spans="1:14" x14ac:dyDescent="0.25">
      <c r="A26" s="134">
        <f>'Students Names and ID'!B23</f>
        <v>0</v>
      </c>
      <c r="B26" s="134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9">
        <f t="shared" si="0"/>
        <v>0</v>
      </c>
      <c r="N26" s="136">
        <f>M26*N4/M4</f>
        <v>0</v>
      </c>
    </row>
    <row r="27" spans="1:14" x14ac:dyDescent="0.25">
      <c r="A27" s="134">
        <f>'Students Names and ID'!B24</f>
        <v>0</v>
      </c>
      <c r="B27" s="134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9">
        <f t="shared" si="0"/>
        <v>0</v>
      </c>
      <c r="N27" s="136">
        <f>M27*N4/M4</f>
        <v>0</v>
      </c>
    </row>
    <row r="28" spans="1:14" x14ac:dyDescent="0.25">
      <c r="A28" s="134">
        <f>'Students Names and ID'!B25</f>
        <v>0</v>
      </c>
      <c r="B28" s="134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9">
        <f t="shared" si="0"/>
        <v>0</v>
      </c>
      <c r="N28" s="136">
        <f>M28*N4/M4</f>
        <v>0</v>
      </c>
    </row>
    <row r="29" spans="1:14" x14ac:dyDescent="0.25">
      <c r="A29" s="134">
        <f>'Students Names and ID'!B26</f>
        <v>0</v>
      </c>
      <c r="B29" s="134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9">
        <f t="shared" si="0"/>
        <v>0</v>
      </c>
      <c r="N29" s="136">
        <f>M29*N4/M4</f>
        <v>0</v>
      </c>
    </row>
    <row r="30" spans="1:14" x14ac:dyDescent="0.25">
      <c r="A30" s="134">
        <f>'Students Names and ID'!B27</f>
        <v>0</v>
      </c>
      <c r="B30" s="134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9">
        <f t="shared" si="0"/>
        <v>0</v>
      </c>
      <c r="N30" s="136">
        <f>M30*N4/M4</f>
        <v>0</v>
      </c>
    </row>
    <row r="31" spans="1:14" x14ac:dyDescent="0.25">
      <c r="A31" s="134">
        <f>'Students Names and ID'!B28</f>
        <v>0</v>
      </c>
      <c r="B31" s="134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9">
        <f t="shared" si="0"/>
        <v>0</v>
      </c>
      <c r="N31" s="136">
        <f>M31*N4/M4</f>
        <v>0</v>
      </c>
    </row>
    <row r="32" spans="1:14" x14ac:dyDescent="0.25">
      <c r="A32" s="134">
        <f>'Students Names and ID'!B29</f>
        <v>0</v>
      </c>
      <c r="B32" s="134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9">
        <f t="shared" si="0"/>
        <v>0</v>
      </c>
      <c r="N32" s="136">
        <f>M32*N4/M4</f>
        <v>0</v>
      </c>
    </row>
    <row r="33" spans="1:14" x14ac:dyDescent="0.25">
      <c r="A33" s="134">
        <f>'Students Names and ID'!B30</f>
        <v>0</v>
      </c>
      <c r="B33" s="134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9">
        <f t="shared" si="0"/>
        <v>0</v>
      </c>
      <c r="N33" s="136">
        <f>M33*N4/M4</f>
        <v>0</v>
      </c>
    </row>
    <row r="34" spans="1:14" x14ac:dyDescent="0.25">
      <c r="A34" s="134">
        <f>'Students Names and ID'!B31</f>
        <v>0</v>
      </c>
      <c r="B34" s="134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9">
        <f t="shared" si="0"/>
        <v>0</v>
      </c>
      <c r="N34" s="136">
        <f>M34*N4/M4</f>
        <v>0</v>
      </c>
    </row>
    <row r="35" spans="1:14" x14ac:dyDescent="0.25">
      <c r="A35" s="134">
        <f>'Students Names and ID'!B32</f>
        <v>0</v>
      </c>
      <c r="B35" s="134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9">
        <f t="shared" si="0"/>
        <v>0</v>
      </c>
      <c r="N35" s="136">
        <f>M35*N4/M4</f>
        <v>0</v>
      </c>
    </row>
    <row r="36" spans="1:14" x14ac:dyDescent="0.25">
      <c r="A36" s="134">
        <f>'Students Names and ID'!B33</f>
        <v>0</v>
      </c>
      <c r="B36" s="134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9">
        <f t="shared" si="0"/>
        <v>0</v>
      </c>
      <c r="N36" s="136">
        <f>M36*N4/M4</f>
        <v>0</v>
      </c>
    </row>
    <row r="37" spans="1:14" x14ac:dyDescent="0.25">
      <c r="A37" s="134">
        <f>'Students Names and ID'!B34</f>
        <v>0</v>
      </c>
      <c r="B37" s="134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9">
        <f t="shared" si="0"/>
        <v>0</v>
      </c>
      <c r="N37" s="136">
        <f>M37*N4/M4</f>
        <v>0</v>
      </c>
    </row>
    <row r="38" spans="1:14" x14ac:dyDescent="0.25">
      <c r="A38" s="134">
        <f>'Students Names and ID'!B35</f>
        <v>0</v>
      </c>
      <c r="B38" s="134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9">
        <f t="shared" si="0"/>
        <v>0</v>
      </c>
      <c r="N38" s="136">
        <f>M38*N4/M4</f>
        <v>0</v>
      </c>
    </row>
    <row r="39" spans="1:14" x14ac:dyDescent="0.25">
      <c r="A39" s="134">
        <f>'Students Names and ID'!B36</f>
        <v>0</v>
      </c>
      <c r="B39" s="134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9">
        <f t="shared" si="0"/>
        <v>0</v>
      </c>
      <c r="N39" s="136">
        <f>M39*N4/M4</f>
        <v>0</v>
      </c>
    </row>
    <row r="40" spans="1:14" x14ac:dyDescent="0.25">
      <c r="A40" s="134">
        <f>'Students Names and ID'!B37</f>
        <v>0</v>
      </c>
      <c r="B40" s="134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9">
        <f t="shared" si="0"/>
        <v>0</v>
      </c>
      <c r="N40" s="136">
        <f>M40*N4/M4</f>
        <v>0</v>
      </c>
    </row>
    <row r="41" spans="1:14" x14ac:dyDescent="0.25">
      <c r="A41" s="134">
        <f>'Students Names and ID'!B38</f>
        <v>0</v>
      </c>
      <c r="B41" s="134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9">
        <f t="shared" si="0"/>
        <v>0</v>
      </c>
      <c r="N41" s="136">
        <f>M41*N4/M4</f>
        <v>0</v>
      </c>
    </row>
    <row r="42" spans="1:14" x14ac:dyDescent="0.25">
      <c r="A42" s="134">
        <f>'Students Names and ID'!B39</f>
        <v>0</v>
      </c>
      <c r="B42" s="134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9">
        <f t="shared" si="0"/>
        <v>0</v>
      </c>
      <c r="N42" s="136">
        <f>M42*N4/M4</f>
        <v>0</v>
      </c>
    </row>
    <row r="43" spans="1:14" x14ac:dyDescent="0.25">
      <c r="A43" s="134">
        <f>'Students Names and ID'!B40</f>
        <v>0</v>
      </c>
      <c r="B43" s="134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9">
        <f t="shared" si="0"/>
        <v>0</v>
      </c>
      <c r="N43" s="136">
        <f>M43*N4/M4</f>
        <v>0</v>
      </c>
    </row>
    <row r="44" spans="1:14" x14ac:dyDescent="0.25">
      <c r="A44" s="134">
        <f>'Students Names and ID'!B41</f>
        <v>0</v>
      </c>
      <c r="B44" s="134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9">
        <f t="shared" si="0"/>
        <v>0</v>
      </c>
      <c r="N44" s="136">
        <f>M44*N4/M4</f>
        <v>0</v>
      </c>
    </row>
    <row r="45" spans="1:14" x14ac:dyDescent="0.25">
      <c r="B45" s="128" t="s">
        <v>37</v>
      </c>
      <c r="C45" s="5" t="str">
        <f>IF(COUNTBLANK(C5:C44)=40," ",AVERAGE(C5:C44))</f>
        <v xml:space="preserve"> </v>
      </c>
      <c r="D45" s="5" t="str">
        <f>IF(COUNTBLANK(D5:D44)=40," ",AVERAGE(D5:D44))</f>
        <v xml:space="preserve"> </v>
      </c>
      <c r="E45" s="5" t="str">
        <f t="shared" ref="E45:L45" si="1">IF(COUNTBLANK(E5:E44)=40," ",AVERAGE(E5:E44))</f>
        <v xml:space="preserve"> </v>
      </c>
      <c r="F45" s="5" t="str">
        <f t="shared" si="1"/>
        <v xml:space="preserve"> </v>
      </c>
      <c r="G45" s="5" t="str">
        <f t="shared" si="1"/>
        <v xml:space="preserve"> </v>
      </c>
      <c r="H45" s="5" t="str">
        <f t="shared" si="1"/>
        <v xml:space="preserve"> </v>
      </c>
      <c r="I45" s="5" t="str">
        <f t="shared" si="1"/>
        <v xml:space="preserve"> </v>
      </c>
      <c r="J45" s="5" t="str">
        <f t="shared" si="1"/>
        <v xml:space="preserve"> </v>
      </c>
      <c r="K45" s="5" t="str">
        <f t="shared" si="1"/>
        <v xml:space="preserve"> </v>
      </c>
      <c r="L45" s="5" t="str">
        <f t="shared" si="1"/>
        <v xml:space="preserve"> </v>
      </c>
      <c r="M45" s="5">
        <f>IF(COUNTBLANK(M5:M44)=40," ",AVERAGE(M5:M44))</f>
        <v>0</v>
      </c>
      <c r="N45" s="5">
        <f>IF(COUNTBLANK(N5:N44)=40," ",AVERAGE(N5:N44))</f>
        <v>0</v>
      </c>
    </row>
    <row r="46" spans="1:14" x14ac:dyDescent="0.25">
      <c r="B46" s="128" t="s">
        <v>42</v>
      </c>
      <c r="C46" s="5" t="str">
        <f>IF(C45="","",IF(ISERROR(ROUND(C45*10/C3,1))," ",(ROUND(C45*10/C3,1))))</f>
        <v xml:space="preserve"> </v>
      </c>
      <c r="D46" s="5" t="str">
        <f t="shared" ref="D46:L46" si="2">IF(D45="","",IF(ISERROR(ROUND(D45*10/D3,1))," ",(ROUND(D45*10/D3,1))))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>
        <f>IF(M45="","",IF(ISERROR(ROUND(M45*10/M4,1))," ",(ROUND(M45*10/M4,1))))</f>
        <v>0</v>
      </c>
      <c r="N46" s="5" t="str">
        <f>IF(N45="","",IF(ISERROR(ROUND(N45*10/N4,1))," ",(ROUND(N45*10/N4,1))))</f>
        <v xml:space="preserve"> </v>
      </c>
    </row>
    <row r="47" spans="1:14" x14ac:dyDescent="0.25">
      <c r="B47" s="135" t="s">
        <v>377</v>
      </c>
      <c r="C47" s="5">
        <f>COUNTIF(C5:C44,"&gt;="&amp;(0.7*C3))</f>
        <v>0</v>
      </c>
      <c r="D47" s="5">
        <f t="shared" ref="D47:L47" si="3">COUNTIF(D5:D44,"&gt;="&amp;(0.7*D3))</f>
        <v>0</v>
      </c>
      <c r="E47" s="5">
        <f t="shared" si="3"/>
        <v>0</v>
      </c>
      <c r="F47" s="5">
        <f t="shared" si="3"/>
        <v>0</v>
      </c>
      <c r="G47" s="5">
        <f t="shared" si="3"/>
        <v>0</v>
      </c>
      <c r="H47" s="5">
        <f t="shared" si="3"/>
        <v>0</v>
      </c>
      <c r="I47" s="5">
        <f t="shared" si="3"/>
        <v>0</v>
      </c>
      <c r="J47" s="5">
        <f t="shared" si="3"/>
        <v>0</v>
      </c>
      <c r="K47" s="5">
        <f t="shared" si="3"/>
        <v>0</v>
      </c>
      <c r="L47" s="5">
        <f t="shared" si="3"/>
        <v>0</v>
      </c>
    </row>
    <row r="48" spans="1:14" ht="15.75" thickBot="1" x14ac:dyDescent="0.3"/>
    <row r="49" spans="2:14" ht="15.75" thickBot="1" x14ac:dyDescent="0.3">
      <c r="C49" s="347" t="str">
        <f>C4</f>
        <v>R1</v>
      </c>
      <c r="D49" s="348" t="str">
        <f t="shared" ref="D49:L49" si="4">D4</f>
        <v>R2</v>
      </c>
      <c r="E49" s="348" t="str">
        <f t="shared" si="4"/>
        <v>R3</v>
      </c>
      <c r="F49" s="348" t="str">
        <f t="shared" si="4"/>
        <v>R4</v>
      </c>
      <c r="G49" s="348" t="str">
        <f t="shared" si="4"/>
        <v>R5</v>
      </c>
      <c r="H49" s="348" t="str">
        <f t="shared" si="4"/>
        <v>R6</v>
      </c>
      <c r="I49" s="348" t="str">
        <f t="shared" si="4"/>
        <v>R7</v>
      </c>
      <c r="J49" s="348" t="str">
        <f t="shared" si="4"/>
        <v>R8</v>
      </c>
      <c r="K49" s="348" t="str">
        <f t="shared" si="4"/>
        <v>R9</v>
      </c>
      <c r="L49" s="349" t="str">
        <f t="shared" si="4"/>
        <v>R10</v>
      </c>
    </row>
    <row r="50" spans="2:14" ht="27" customHeight="1" thickBot="1" x14ac:dyDescent="0.3">
      <c r="B50" s="584" t="s">
        <v>420</v>
      </c>
      <c r="C50" s="590" t="s">
        <v>410</v>
      </c>
      <c r="D50" s="590"/>
      <c r="E50" s="590"/>
      <c r="F50" s="590"/>
      <c r="G50" s="590"/>
      <c r="H50" s="590"/>
      <c r="I50" s="590"/>
      <c r="J50" s="590"/>
      <c r="K50" s="590"/>
      <c r="L50" s="605"/>
      <c r="M50" s="556" t="s">
        <v>412</v>
      </c>
      <c r="N50" s="558" t="s">
        <v>417</v>
      </c>
    </row>
    <row r="51" spans="2:14" ht="15.75" hidden="1" thickBot="1" x14ac:dyDescent="0.3">
      <c r="B51" s="585"/>
      <c r="C51" s="592" t="s">
        <v>411</v>
      </c>
      <c r="D51" s="593"/>
      <c r="E51" s="593"/>
      <c r="F51" s="593"/>
      <c r="G51" s="593"/>
      <c r="H51" s="593"/>
      <c r="I51" s="593"/>
      <c r="J51" s="593"/>
      <c r="K51" s="593"/>
      <c r="L51" s="593"/>
      <c r="M51" s="557"/>
      <c r="N51" s="559"/>
    </row>
    <row r="52" spans="2:14" x14ac:dyDescent="0.25">
      <c r="B52" s="541" t="s">
        <v>383</v>
      </c>
      <c r="C52" s="369"/>
      <c r="D52" s="369"/>
      <c r="E52" s="369"/>
      <c r="F52" s="369"/>
      <c r="G52" s="369"/>
      <c r="H52" s="369"/>
      <c r="I52" s="369"/>
      <c r="J52" s="369"/>
      <c r="K52" s="369"/>
      <c r="L52" s="369"/>
      <c r="M52" s="560" t="str">
        <f>IF(N52=0,"",SUM(C53:L53))</f>
        <v/>
      </c>
      <c r="N52" s="562">
        <f>COUNT(C53:L53)</f>
        <v>0</v>
      </c>
    </row>
    <row r="53" spans="2:14" hidden="1" x14ac:dyDescent="0.25">
      <c r="B53" s="542"/>
      <c r="C53" s="370" t="str">
        <f>IF(C52="x",C$47,"")</f>
        <v/>
      </c>
      <c r="D53" s="370" t="str">
        <f t="shared" ref="D53:L53" si="5">IF(D52="x",D$47,"")</f>
        <v/>
      </c>
      <c r="E53" s="370" t="str">
        <f t="shared" si="5"/>
        <v/>
      </c>
      <c r="F53" s="370" t="str">
        <f t="shared" si="5"/>
        <v/>
      </c>
      <c r="G53" s="370" t="str">
        <f t="shared" si="5"/>
        <v/>
      </c>
      <c r="H53" s="370" t="str">
        <f t="shared" si="5"/>
        <v/>
      </c>
      <c r="I53" s="370" t="str">
        <f t="shared" si="5"/>
        <v/>
      </c>
      <c r="J53" s="370" t="str">
        <f t="shared" si="5"/>
        <v/>
      </c>
      <c r="K53" s="370" t="str">
        <f t="shared" si="5"/>
        <v/>
      </c>
      <c r="L53" s="370" t="str">
        <f t="shared" si="5"/>
        <v/>
      </c>
      <c r="M53" s="561"/>
      <c r="N53" s="563"/>
    </row>
    <row r="54" spans="2:14" x14ac:dyDescent="0.25">
      <c r="B54" s="542" t="s">
        <v>385</v>
      </c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561" t="str">
        <f t="shared" ref="M54" si="6">IF(N54=0,"",SUM(C55:L55))</f>
        <v/>
      </c>
      <c r="N54" s="563">
        <f>COUNT(C55:L55)</f>
        <v>0</v>
      </c>
    </row>
    <row r="55" spans="2:14" hidden="1" x14ac:dyDescent="0.25">
      <c r="B55" s="542"/>
      <c r="C55" s="370" t="str">
        <f>IF(C54="x",C$47,"")</f>
        <v/>
      </c>
      <c r="D55" s="370" t="str">
        <f t="shared" ref="D55:L55" si="7">IF(D54="x",D$47,"")</f>
        <v/>
      </c>
      <c r="E55" s="370" t="str">
        <f t="shared" si="7"/>
        <v/>
      </c>
      <c r="F55" s="370" t="str">
        <f t="shared" si="7"/>
        <v/>
      </c>
      <c r="G55" s="370" t="str">
        <f t="shared" si="7"/>
        <v/>
      </c>
      <c r="H55" s="370" t="str">
        <f t="shared" si="7"/>
        <v/>
      </c>
      <c r="I55" s="370" t="str">
        <f t="shared" si="7"/>
        <v/>
      </c>
      <c r="J55" s="370" t="str">
        <f t="shared" si="7"/>
        <v/>
      </c>
      <c r="K55" s="370" t="str">
        <f t="shared" si="7"/>
        <v/>
      </c>
      <c r="L55" s="370" t="str">
        <f t="shared" si="7"/>
        <v/>
      </c>
      <c r="M55" s="561"/>
      <c r="N55" s="563"/>
    </row>
    <row r="56" spans="2:14" x14ac:dyDescent="0.25">
      <c r="B56" s="542" t="s">
        <v>388</v>
      </c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561" t="str">
        <f t="shared" ref="M56" si="8">IF(N56=0,"",SUM(C57:L57))</f>
        <v/>
      </c>
      <c r="N56" s="563">
        <f>COUNT(C57:L57)</f>
        <v>0</v>
      </c>
    </row>
    <row r="57" spans="2:14" hidden="1" x14ac:dyDescent="0.25">
      <c r="B57" s="542"/>
      <c r="C57" s="370" t="str">
        <f>IF(C56="x",C$47,"")</f>
        <v/>
      </c>
      <c r="D57" s="370" t="str">
        <f t="shared" ref="D57:L57" si="9">IF(D56="x",D$47,"")</f>
        <v/>
      </c>
      <c r="E57" s="370" t="str">
        <f t="shared" si="9"/>
        <v/>
      </c>
      <c r="F57" s="370" t="str">
        <f t="shared" si="9"/>
        <v/>
      </c>
      <c r="G57" s="370" t="str">
        <f t="shared" si="9"/>
        <v/>
      </c>
      <c r="H57" s="370" t="str">
        <f t="shared" si="9"/>
        <v/>
      </c>
      <c r="I57" s="370" t="str">
        <f t="shared" si="9"/>
        <v/>
      </c>
      <c r="J57" s="370" t="str">
        <f t="shared" si="9"/>
        <v/>
      </c>
      <c r="K57" s="370" t="str">
        <f t="shared" si="9"/>
        <v/>
      </c>
      <c r="L57" s="370" t="str">
        <f t="shared" si="9"/>
        <v/>
      </c>
      <c r="M57" s="561"/>
      <c r="N57" s="563"/>
    </row>
    <row r="58" spans="2:14" ht="15.75" thickBot="1" x14ac:dyDescent="0.3">
      <c r="B58" s="542" t="s">
        <v>389</v>
      </c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561" t="str">
        <f t="shared" ref="M58" si="10">IF(N58=0,"",SUM(C59:L59))</f>
        <v/>
      </c>
      <c r="N58" s="563">
        <f>COUNT(C59:L59)</f>
        <v>0</v>
      </c>
    </row>
    <row r="59" spans="2:14" ht="15.75" hidden="1" thickBot="1" x14ac:dyDescent="0.3">
      <c r="B59" s="552"/>
      <c r="C59" s="372" t="str">
        <f>IF(C58="x",C$47,"")</f>
        <v/>
      </c>
      <c r="D59" s="372" t="str">
        <f t="shared" ref="D59:L59" si="11">IF(D58="x",D$47,"")</f>
        <v/>
      </c>
      <c r="E59" s="372" t="str">
        <f t="shared" si="11"/>
        <v/>
      </c>
      <c r="F59" s="372" t="str">
        <f t="shared" si="11"/>
        <v/>
      </c>
      <c r="G59" s="372" t="str">
        <f t="shared" si="11"/>
        <v/>
      </c>
      <c r="H59" s="372" t="str">
        <f t="shared" si="11"/>
        <v/>
      </c>
      <c r="I59" s="372" t="str">
        <f t="shared" si="11"/>
        <v/>
      </c>
      <c r="J59" s="372" t="str">
        <f t="shared" si="11"/>
        <v/>
      </c>
      <c r="K59" s="372" t="str">
        <f t="shared" si="11"/>
        <v/>
      </c>
      <c r="L59" s="372" t="str">
        <f t="shared" si="11"/>
        <v/>
      </c>
      <c r="M59" s="564"/>
      <c r="N59" s="565"/>
    </row>
    <row r="60" spans="2:14" x14ac:dyDescent="0.25">
      <c r="B60" s="553" t="s">
        <v>391</v>
      </c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566" t="str">
        <f t="shared" ref="M60" si="12">IF(N60=0,"",SUM(C61:L61))</f>
        <v/>
      </c>
      <c r="N60" s="568">
        <f>COUNT(C61:L61)</f>
        <v>0</v>
      </c>
    </row>
    <row r="61" spans="2:14" hidden="1" x14ac:dyDescent="0.25">
      <c r="B61" s="554"/>
      <c r="C61" s="370" t="str">
        <f>IF(C60="x",C$47,"")</f>
        <v/>
      </c>
      <c r="D61" s="370" t="str">
        <f t="shared" ref="D61:L61" si="13">IF(D60="x",D$47,"")</f>
        <v/>
      </c>
      <c r="E61" s="370" t="str">
        <f t="shared" si="13"/>
        <v/>
      </c>
      <c r="F61" s="370" t="str">
        <f t="shared" si="13"/>
        <v/>
      </c>
      <c r="G61" s="370" t="str">
        <f t="shared" si="13"/>
        <v/>
      </c>
      <c r="H61" s="370" t="str">
        <f t="shared" si="13"/>
        <v/>
      </c>
      <c r="I61" s="370" t="str">
        <f t="shared" si="13"/>
        <v/>
      </c>
      <c r="J61" s="370" t="str">
        <f t="shared" si="13"/>
        <v/>
      </c>
      <c r="K61" s="370" t="str">
        <f t="shared" si="13"/>
        <v/>
      </c>
      <c r="L61" s="370" t="str">
        <f t="shared" si="13"/>
        <v/>
      </c>
      <c r="M61" s="567"/>
      <c r="N61" s="569"/>
    </row>
    <row r="62" spans="2:14" ht="15.75" thickBot="1" x14ac:dyDescent="0.3">
      <c r="B62" s="554" t="s">
        <v>393</v>
      </c>
      <c r="C62" s="374"/>
      <c r="D62" s="374"/>
      <c r="E62" s="374"/>
      <c r="F62" s="374"/>
      <c r="G62" s="374"/>
      <c r="H62" s="374"/>
      <c r="I62" s="374"/>
      <c r="J62" s="374"/>
      <c r="K62" s="374"/>
      <c r="L62" s="374"/>
      <c r="M62" s="567" t="str">
        <f t="shared" ref="M62" si="14">IF(N62=0,"",SUM(C63:L63))</f>
        <v/>
      </c>
      <c r="N62" s="569">
        <f>COUNT(C63:L63)</f>
        <v>0</v>
      </c>
    </row>
    <row r="63" spans="2:14" ht="15.75" hidden="1" thickBot="1" x14ac:dyDescent="0.3">
      <c r="B63" s="555"/>
      <c r="C63" s="372" t="str">
        <f>IF(C62="x",C$47,"")</f>
        <v/>
      </c>
      <c r="D63" s="372" t="str">
        <f t="shared" ref="D63:L63" si="15">IF(D62="x",D$47,"")</f>
        <v/>
      </c>
      <c r="E63" s="372" t="str">
        <f t="shared" si="15"/>
        <v/>
      </c>
      <c r="F63" s="372" t="str">
        <f t="shared" si="15"/>
        <v/>
      </c>
      <c r="G63" s="372" t="str">
        <f t="shared" si="15"/>
        <v/>
      </c>
      <c r="H63" s="372" t="str">
        <f t="shared" si="15"/>
        <v/>
      </c>
      <c r="I63" s="372" t="str">
        <f t="shared" si="15"/>
        <v/>
      </c>
      <c r="J63" s="372" t="str">
        <f t="shared" si="15"/>
        <v/>
      </c>
      <c r="K63" s="372" t="str">
        <f t="shared" si="15"/>
        <v/>
      </c>
      <c r="L63" s="372" t="str">
        <f t="shared" si="15"/>
        <v/>
      </c>
      <c r="M63" s="570"/>
      <c r="N63" s="571"/>
    </row>
    <row r="64" spans="2:14" x14ac:dyDescent="0.25">
      <c r="B64" s="541" t="s">
        <v>394</v>
      </c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560" t="str">
        <f t="shared" ref="M64" si="16">IF(N64=0,"",SUM(C65:L65))</f>
        <v/>
      </c>
      <c r="N64" s="562">
        <f>COUNT(C65:L65)</f>
        <v>0</v>
      </c>
    </row>
    <row r="65" spans="2:14" hidden="1" x14ac:dyDescent="0.25">
      <c r="B65" s="542"/>
      <c r="C65" s="370" t="str">
        <f>IF(C64="x",C$47,"")</f>
        <v/>
      </c>
      <c r="D65" s="370" t="str">
        <f t="shared" ref="D65:L65" si="17">IF(D64="x",D$47,"")</f>
        <v/>
      </c>
      <c r="E65" s="370" t="str">
        <f t="shared" si="17"/>
        <v/>
      </c>
      <c r="F65" s="370" t="str">
        <f t="shared" si="17"/>
        <v/>
      </c>
      <c r="G65" s="370" t="str">
        <f t="shared" si="17"/>
        <v/>
      </c>
      <c r="H65" s="370" t="str">
        <f t="shared" si="17"/>
        <v/>
      </c>
      <c r="I65" s="370" t="str">
        <f t="shared" si="17"/>
        <v/>
      </c>
      <c r="J65" s="370" t="str">
        <f t="shared" si="17"/>
        <v/>
      </c>
      <c r="K65" s="370" t="str">
        <f t="shared" si="17"/>
        <v/>
      </c>
      <c r="L65" s="370" t="str">
        <f t="shared" si="17"/>
        <v/>
      </c>
      <c r="M65" s="561"/>
      <c r="N65" s="563"/>
    </row>
    <row r="66" spans="2:14" x14ac:dyDescent="0.25">
      <c r="B66" s="542" t="s">
        <v>395</v>
      </c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561" t="str">
        <f t="shared" ref="M66" si="18">IF(N66=0,"",SUM(C67:L67))</f>
        <v/>
      </c>
      <c r="N66" s="563">
        <f>COUNT(C67:L67)</f>
        <v>0</v>
      </c>
    </row>
    <row r="67" spans="2:14" hidden="1" x14ac:dyDescent="0.25">
      <c r="B67" s="542"/>
      <c r="C67" s="370" t="str">
        <f>IF(C66="x",C$47,"")</f>
        <v/>
      </c>
      <c r="D67" s="370" t="str">
        <f t="shared" ref="D67:L67" si="19">IF(D66="x",D$47,"")</f>
        <v/>
      </c>
      <c r="E67" s="370" t="str">
        <f t="shared" si="19"/>
        <v/>
      </c>
      <c r="F67" s="370" t="str">
        <f t="shared" si="19"/>
        <v/>
      </c>
      <c r="G67" s="370" t="str">
        <f t="shared" si="19"/>
        <v/>
      </c>
      <c r="H67" s="370" t="str">
        <f t="shared" si="19"/>
        <v/>
      </c>
      <c r="I67" s="370" t="str">
        <f t="shared" si="19"/>
        <v/>
      </c>
      <c r="J67" s="370" t="str">
        <f t="shared" si="19"/>
        <v/>
      </c>
      <c r="K67" s="370" t="str">
        <f t="shared" si="19"/>
        <v/>
      </c>
      <c r="L67" s="370" t="str">
        <f t="shared" si="19"/>
        <v/>
      </c>
      <c r="M67" s="561"/>
      <c r="N67" s="563"/>
    </row>
    <row r="68" spans="2:14" ht="15.75" thickBot="1" x14ac:dyDescent="0.3">
      <c r="B68" s="542" t="s">
        <v>396</v>
      </c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561" t="str">
        <f t="shared" ref="M68" si="20">IF(N68=0,"",SUM(C69:L69))</f>
        <v/>
      </c>
      <c r="N68" s="563">
        <f>COUNT(C69:L69)</f>
        <v>0</v>
      </c>
    </row>
    <row r="69" spans="2:14" ht="15.75" hidden="1" thickBot="1" x14ac:dyDescent="0.3">
      <c r="B69" s="552"/>
      <c r="C69" s="372" t="str">
        <f>IF(C68="x",C$47,"")</f>
        <v/>
      </c>
      <c r="D69" s="372" t="str">
        <f t="shared" ref="D69:L69" si="21">IF(D68="x",D$47,"")</f>
        <v/>
      </c>
      <c r="E69" s="372" t="str">
        <f t="shared" si="21"/>
        <v/>
      </c>
      <c r="F69" s="372" t="str">
        <f t="shared" si="21"/>
        <v/>
      </c>
      <c r="G69" s="372" t="str">
        <f t="shared" si="21"/>
        <v/>
      </c>
      <c r="H69" s="372" t="str">
        <f t="shared" si="21"/>
        <v/>
      </c>
      <c r="I69" s="372" t="str">
        <f t="shared" si="21"/>
        <v/>
      </c>
      <c r="J69" s="372" t="str">
        <f t="shared" si="21"/>
        <v/>
      </c>
      <c r="K69" s="372" t="str">
        <f t="shared" si="21"/>
        <v/>
      </c>
      <c r="L69" s="372" t="str">
        <f t="shared" si="21"/>
        <v/>
      </c>
      <c r="M69" s="564"/>
      <c r="N69" s="565"/>
    </row>
    <row r="70" spans="2:14" x14ac:dyDescent="0.25">
      <c r="B70" s="553" t="s">
        <v>397</v>
      </c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566" t="str">
        <f t="shared" ref="M70" si="22">IF(N70=0,"",SUM(C71:L71))</f>
        <v/>
      </c>
      <c r="N70" s="568">
        <f>COUNT(C71:L71)</f>
        <v>0</v>
      </c>
    </row>
    <row r="71" spans="2:14" hidden="1" x14ac:dyDescent="0.25">
      <c r="B71" s="554"/>
      <c r="C71" s="370" t="str">
        <f>IF(C70="x",C$47,"")</f>
        <v/>
      </c>
      <c r="D71" s="370" t="str">
        <f t="shared" ref="D71:L71" si="23">IF(D70="x",D$47,"")</f>
        <v/>
      </c>
      <c r="E71" s="370" t="str">
        <f t="shared" si="23"/>
        <v/>
      </c>
      <c r="F71" s="370" t="str">
        <f t="shared" si="23"/>
        <v/>
      </c>
      <c r="G71" s="370" t="str">
        <f t="shared" si="23"/>
        <v/>
      </c>
      <c r="H71" s="370" t="str">
        <f t="shared" si="23"/>
        <v/>
      </c>
      <c r="I71" s="370" t="str">
        <f t="shared" si="23"/>
        <v/>
      </c>
      <c r="J71" s="370" t="str">
        <f t="shared" si="23"/>
        <v/>
      </c>
      <c r="K71" s="370" t="str">
        <f t="shared" si="23"/>
        <v/>
      </c>
      <c r="L71" s="370" t="str">
        <f t="shared" si="23"/>
        <v/>
      </c>
      <c r="M71" s="567"/>
      <c r="N71" s="569"/>
    </row>
    <row r="72" spans="2:14" ht="15.75" thickBot="1" x14ac:dyDescent="0.3">
      <c r="B72" s="554" t="s">
        <v>398</v>
      </c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567" t="str">
        <f t="shared" ref="M72" si="24">IF(N72=0,"",SUM(C73:L73))</f>
        <v/>
      </c>
      <c r="N72" s="569">
        <f>COUNT(C73:L73)</f>
        <v>0</v>
      </c>
    </row>
    <row r="73" spans="2:14" ht="15.75" hidden="1" thickBot="1" x14ac:dyDescent="0.3">
      <c r="B73" s="555"/>
      <c r="C73" s="372" t="str">
        <f>IF(C72="x",C$47,"")</f>
        <v/>
      </c>
      <c r="D73" s="372" t="str">
        <f t="shared" ref="D73:L73" si="25">IF(D72="x",D$47,"")</f>
        <v/>
      </c>
      <c r="E73" s="372" t="str">
        <f t="shared" si="25"/>
        <v/>
      </c>
      <c r="F73" s="372" t="str">
        <f t="shared" si="25"/>
        <v/>
      </c>
      <c r="G73" s="372" t="str">
        <f t="shared" si="25"/>
        <v/>
      </c>
      <c r="H73" s="372" t="str">
        <f t="shared" si="25"/>
        <v/>
      </c>
      <c r="I73" s="372" t="str">
        <f t="shared" si="25"/>
        <v/>
      </c>
      <c r="J73" s="372" t="str">
        <f t="shared" si="25"/>
        <v/>
      </c>
      <c r="K73" s="372" t="str">
        <f t="shared" si="25"/>
        <v/>
      </c>
      <c r="L73" s="372" t="str">
        <f t="shared" si="25"/>
        <v/>
      </c>
      <c r="M73" s="570"/>
      <c r="N73" s="571"/>
    </row>
    <row r="74" spans="2:14" x14ac:dyDescent="0.25">
      <c r="B74" s="541" t="s">
        <v>399</v>
      </c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560" t="str">
        <f t="shared" ref="M74" si="26">IF(N74=0,"",SUM(C75:L75))</f>
        <v/>
      </c>
      <c r="N74" s="562">
        <f>COUNT(C75:L75)</f>
        <v>0</v>
      </c>
    </row>
    <row r="75" spans="2:14" hidden="1" x14ac:dyDescent="0.25">
      <c r="B75" s="542"/>
      <c r="C75" s="370" t="str">
        <f>IF(C74="x",C$47,"")</f>
        <v/>
      </c>
      <c r="D75" s="370" t="str">
        <f t="shared" ref="D75:L75" si="27">IF(D74="x",D$47,"")</f>
        <v/>
      </c>
      <c r="E75" s="370" t="str">
        <f t="shared" si="27"/>
        <v/>
      </c>
      <c r="F75" s="370" t="str">
        <f t="shared" si="27"/>
        <v/>
      </c>
      <c r="G75" s="370" t="str">
        <f t="shared" si="27"/>
        <v/>
      </c>
      <c r="H75" s="370" t="str">
        <f t="shared" si="27"/>
        <v/>
      </c>
      <c r="I75" s="370" t="str">
        <f t="shared" si="27"/>
        <v/>
      </c>
      <c r="J75" s="370" t="str">
        <f t="shared" si="27"/>
        <v/>
      </c>
      <c r="K75" s="370" t="str">
        <f t="shared" si="27"/>
        <v/>
      </c>
      <c r="L75" s="370" t="str">
        <f t="shared" si="27"/>
        <v/>
      </c>
      <c r="M75" s="561"/>
      <c r="N75" s="563"/>
    </row>
    <row r="76" spans="2:14" ht="15.75" thickBot="1" x14ac:dyDescent="0.3">
      <c r="B76" s="542" t="s">
        <v>400</v>
      </c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561" t="str">
        <f t="shared" ref="M76" si="28">IF(N76=0,"",SUM(C77:L77))</f>
        <v/>
      </c>
      <c r="N76" s="563">
        <f>COUNT(C77:L77)</f>
        <v>0</v>
      </c>
    </row>
    <row r="77" spans="2:14" ht="15.75" hidden="1" thickBot="1" x14ac:dyDescent="0.3">
      <c r="B77" s="552"/>
      <c r="C77" s="372" t="str">
        <f>IF(C76="x",C$47,"")</f>
        <v/>
      </c>
      <c r="D77" s="372" t="str">
        <f t="shared" ref="D77:L77" si="29">IF(D76="x",D$47,"")</f>
        <v/>
      </c>
      <c r="E77" s="372" t="str">
        <f t="shared" si="29"/>
        <v/>
      </c>
      <c r="F77" s="372" t="str">
        <f t="shared" si="29"/>
        <v/>
      </c>
      <c r="G77" s="372" t="str">
        <f t="shared" si="29"/>
        <v/>
      </c>
      <c r="H77" s="372" t="str">
        <f t="shared" si="29"/>
        <v/>
      </c>
      <c r="I77" s="372" t="str">
        <f t="shared" si="29"/>
        <v/>
      </c>
      <c r="J77" s="372" t="str">
        <f t="shared" si="29"/>
        <v/>
      </c>
      <c r="K77" s="372" t="str">
        <f t="shared" si="29"/>
        <v/>
      </c>
      <c r="L77" s="372" t="str">
        <f t="shared" si="29"/>
        <v/>
      </c>
      <c r="M77" s="564"/>
      <c r="N77" s="565"/>
    </row>
    <row r="78" spans="2:14" x14ac:dyDescent="0.25">
      <c r="B78" s="543" t="s">
        <v>401</v>
      </c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566" t="str">
        <f t="shared" ref="M78" si="30">IF(N78=0,"",SUM(C79:L79))</f>
        <v/>
      </c>
      <c r="N78" s="568">
        <f>COUNT(C79:L79)</f>
        <v>0</v>
      </c>
    </row>
    <row r="79" spans="2:14" hidden="1" x14ac:dyDescent="0.25">
      <c r="B79" s="604"/>
      <c r="C79" s="391" t="str">
        <f>IF(C78="x",C$47,"")</f>
        <v/>
      </c>
      <c r="D79" s="391" t="str">
        <f t="shared" ref="D79:L79" si="31">IF(D78="x",D$47,"")</f>
        <v/>
      </c>
      <c r="E79" s="391" t="str">
        <f t="shared" si="31"/>
        <v/>
      </c>
      <c r="F79" s="391" t="str">
        <f t="shared" si="31"/>
        <v/>
      </c>
      <c r="G79" s="391" t="str">
        <f t="shared" si="31"/>
        <v/>
      </c>
      <c r="H79" s="391" t="str">
        <f t="shared" si="31"/>
        <v/>
      </c>
      <c r="I79" s="391" t="str">
        <f t="shared" si="31"/>
        <v/>
      </c>
      <c r="J79" s="391" t="str">
        <f t="shared" si="31"/>
        <v/>
      </c>
      <c r="K79" s="391" t="str">
        <f t="shared" si="31"/>
        <v/>
      </c>
      <c r="L79" s="391" t="str">
        <f t="shared" si="31"/>
        <v/>
      </c>
      <c r="M79" s="567"/>
      <c r="N79" s="569"/>
    </row>
    <row r="80" spans="2:14" x14ac:dyDescent="0.25">
      <c r="B80" s="604" t="s">
        <v>402</v>
      </c>
      <c r="C80" s="394"/>
      <c r="D80" s="394"/>
      <c r="E80" s="394"/>
      <c r="F80" s="394"/>
      <c r="G80" s="394"/>
      <c r="H80" s="394"/>
      <c r="I80" s="394"/>
      <c r="J80" s="394"/>
      <c r="K80" s="394"/>
      <c r="L80" s="394"/>
      <c r="M80" s="567" t="str">
        <f t="shared" ref="M80" si="32">IF(N80=0,"",SUM(C81:L81))</f>
        <v/>
      </c>
      <c r="N80" s="569">
        <f>COUNT(C81:L81)</f>
        <v>0</v>
      </c>
    </row>
    <row r="81" spans="2:14" ht="15.75" hidden="1" thickBot="1" x14ac:dyDescent="0.3">
      <c r="B81" s="545"/>
      <c r="C81" s="293" t="str">
        <f>IF(C80="x",C$47,"")</f>
        <v/>
      </c>
      <c r="D81" s="293" t="str">
        <f t="shared" ref="D81:L81" si="33">IF(D80="x",D$47,"")</f>
        <v/>
      </c>
      <c r="E81" s="293" t="str">
        <f t="shared" si="33"/>
        <v/>
      </c>
      <c r="F81" s="293" t="str">
        <f t="shared" si="33"/>
        <v/>
      </c>
      <c r="G81" s="293" t="str">
        <f t="shared" si="33"/>
        <v/>
      </c>
      <c r="H81" s="293" t="str">
        <f t="shared" si="33"/>
        <v/>
      </c>
      <c r="I81" s="293" t="str">
        <f t="shared" si="33"/>
        <v/>
      </c>
      <c r="J81" s="293" t="str">
        <f t="shared" si="33"/>
        <v/>
      </c>
      <c r="K81" s="293" t="str">
        <f t="shared" si="33"/>
        <v/>
      </c>
      <c r="L81" s="293" t="str">
        <f t="shared" si="33"/>
        <v/>
      </c>
      <c r="M81" s="570"/>
      <c r="N81" s="571"/>
    </row>
  </sheetData>
  <mergeCells count="51">
    <mergeCell ref="M80:M81"/>
    <mergeCell ref="N80:N81"/>
    <mergeCell ref="M50:M51"/>
    <mergeCell ref="N50:N51"/>
    <mergeCell ref="M74:M75"/>
    <mergeCell ref="N74:N75"/>
    <mergeCell ref="M76:M77"/>
    <mergeCell ref="N76:N77"/>
    <mergeCell ref="M78:M79"/>
    <mergeCell ref="N78:N79"/>
    <mergeCell ref="M64:M65"/>
    <mergeCell ref="N64:N65"/>
    <mergeCell ref="M66:M67"/>
    <mergeCell ref="N66:N67"/>
    <mergeCell ref="M68:M69"/>
    <mergeCell ref="N68:N69"/>
    <mergeCell ref="M70:M71"/>
    <mergeCell ref="N70:N71"/>
    <mergeCell ref="M72:M73"/>
    <mergeCell ref="N72:N73"/>
    <mergeCell ref="M62:M63"/>
    <mergeCell ref="M60:M61"/>
    <mergeCell ref="N60:N61"/>
    <mergeCell ref="N62:N63"/>
    <mergeCell ref="M56:M57"/>
    <mergeCell ref="N56:N57"/>
    <mergeCell ref="N58:N59"/>
    <mergeCell ref="M58:M59"/>
    <mergeCell ref="M52:M53"/>
    <mergeCell ref="N52:N53"/>
    <mergeCell ref="M54:M55"/>
    <mergeCell ref="N54:N55"/>
    <mergeCell ref="A1:A2"/>
    <mergeCell ref="B50:B51"/>
    <mergeCell ref="C50:L50"/>
    <mergeCell ref="C51:L51"/>
    <mergeCell ref="B52:B53"/>
    <mergeCell ref="B54:B55"/>
    <mergeCell ref="B56:B57"/>
    <mergeCell ref="B58:B59"/>
    <mergeCell ref="B60:B61"/>
    <mergeCell ref="B62:B63"/>
    <mergeCell ref="B74:B75"/>
    <mergeCell ref="B76:B77"/>
    <mergeCell ref="B78:B79"/>
    <mergeCell ref="B80:B81"/>
    <mergeCell ref="B64:B65"/>
    <mergeCell ref="B66:B67"/>
    <mergeCell ref="B68:B69"/>
    <mergeCell ref="B70:B71"/>
    <mergeCell ref="B72:B73"/>
  </mergeCells>
  <pageMargins left="0.25" right="0.25" top="0.75" bottom="0.75" header="0.3" footer="0.3"/>
  <pageSetup scale="65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AI82"/>
  <sheetViews>
    <sheetView zoomScale="70" zoomScaleNormal="70" workbookViewId="0">
      <selection activeCell="AL41" sqref="AL41"/>
    </sheetView>
  </sheetViews>
  <sheetFormatPr defaultColWidth="9.140625" defaultRowHeight="15" x14ac:dyDescent="0.25"/>
  <cols>
    <col min="1" max="1" width="40.140625" style="97" customWidth="1"/>
    <col min="2" max="2" width="18.42578125" style="97" customWidth="1"/>
    <col min="3" max="12" width="7.7109375" style="97" customWidth="1"/>
    <col min="13" max="15" width="4.42578125" style="97" hidden="1" customWidth="1"/>
    <col min="16" max="33" width="4.85546875" style="97" hidden="1" customWidth="1"/>
    <col min="34" max="34" width="14.28515625" style="97" customWidth="1"/>
    <col min="35" max="35" width="14.140625" style="97" customWidth="1"/>
    <col min="36" max="16384" width="9.140625" style="97"/>
  </cols>
  <sheetData>
    <row r="1" spans="1:35" x14ac:dyDescent="0.25">
      <c r="A1" s="538" t="s">
        <v>290</v>
      </c>
      <c r="B1" s="128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5" x14ac:dyDescent="0.25">
      <c r="A2" s="538"/>
      <c r="B2" s="128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</row>
    <row r="3" spans="1:35" x14ac:dyDescent="0.25">
      <c r="B3" s="130" t="s">
        <v>118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8" t="s">
        <v>38</v>
      </c>
      <c r="AI3" s="135" t="s">
        <v>257</v>
      </c>
    </row>
    <row r="4" spans="1:35" x14ac:dyDescent="0.25">
      <c r="A4" s="119" t="s">
        <v>1</v>
      </c>
      <c r="B4" s="119" t="s">
        <v>0</v>
      </c>
      <c r="C4" s="131" t="s">
        <v>156</v>
      </c>
      <c r="D4" s="131" t="s">
        <v>157</v>
      </c>
      <c r="E4" s="131" t="s">
        <v>158</v>
      </c>
      <c r="F4" s="131" t="s">
        <v>159</v>
      </c>
      <c r="G4" s="131" t="s">
        <v>160</v>
      </c>
      <c r="H4" s="131" t="s">
        <v>161</v>
      </c>
      <c r="I4" s="131" t="s">
        <v>162</v>
      </c>
      <c r="J4" s="131" t="s">
        <v>163</v>
      </c>
      <c r="K4" s="131" t="s">
        <v>164</v>
      </c>
      <c r="L4" s="131" t="s">
        <v>165</v>
      </c>
      <c r="M4" s="131" t="s">
        <v>166</v>
      </c>
      <c r="N4" s="131" t="s">
        <v>167</v>
      </c>
      <c r="O4" s="131" t="s">
        <v>143</v>
      </c>
      <c r="P4" s="131" t="s">
        <v>83</v>
      </c>
      <c r="Q4" s="131" t="s">
        <v>168</v>
      </c>
      <c r="R4" s="131" t="s">
        <v>168</v>
      </c>
      <c r="S4" s="131" t="s">
        <v>169</v>
      </c>
      <c r="T4" s="131" t="s">
        <v>84</v>
      </c>
      <c r="U4" s="131" t="s">
        <v>85</v>
      </c>
      <c r="V4" s="131" t="s">
        <v>170</v>
      </c>
      <c r="W4" s="131" t="s">
        <v>86</v>
      </c>
      <c r="X4" s="131" t="s">
        <v>87</v>
      </c>
      <c r="Y4" s="131" t="s">
        <v>88</v>
      </c>
      <c r="Z4" s="131" t="s">
        <v>89</v>
      </c>
      <c r="AA4" s="131" t="s">
        <v>90</v>
      </c>
      <c r="AB4" s="131" t="s">
        <v>95</v>
      </c>
      <c r="AC4" s="131" t="s">
        <v>146</v>
      </c>
      <c r="AD4" s="131" t="s">
        <v>91</v>
      </c>
      <c r="AE4" s="131" t="s">
        <v>92</v>
      </c>
      <c r="AF4" s="131" t="s">
        <v>93</v>
      </c>
      <c r="AG4" s="131" t="s">
        <v>94</v>
      </c>
      <c r="AH4" s="5">
        <f>SUM(C3:AG3)</f>
        <v>1</v>
      </c>
      <c r="AI4" s="131">
        <v>0</v>
      </c>
    </row>
    <row r="5" spans="1:35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90">
        <f t="shared" ref="AH5:AH44" si="0">SUM(C5:AG5)</f>
        <v>0</v>
      </c>
      <c r="AI5" s="136">
        <f>AH5*AI$4/AH$4</f>
        <v>0</v>
      </c>
    </row>
    <row r="6" spans="1:35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90">
        <f t="shared" si="0"/>
        <v>0</v>
      </c>
      <c r="AI6" s="136">
        <f t="shared" ref="AI6:AI44" si="1">AH6*AI$4/AH$4</f>
        <v>0</v>
      </c>
    </row>
    <row r="7" spans="1:35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90">
        <f t="shared" si="0"/>
        <v>0</v>
      </c>
      <c r="AI7" s="136">
        <f t="shared" si="1"/>
        <v>0</v>
      </c>
    </row>
    <row r="8" spans="1:35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90">
        <f t="shared" si="0"/>
        <v>0</v>
      </c>
      <c r="AI8" s="136">
        <f t="shared" si="1"/>
        <v>0</v>
      </c>
    </row>
    <row r="9" spans="1:35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90">
        <f t="shared" si="0"/>
        <v>0</v>
      </c>
      <c r="AI9" s="136">
        <f t="shared" si="1"/>
        <v>0</v>
      </c>
    </row>
    <row r="10" spans="1:35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90">
        <f t="shared" si="0"/>
        <v>0</v>
      </c>
      <c r="AI10" s="136">
        <f t="shared" si="1"/>
        <v>0</v>
      </c>
    </row>
    <row r="11" spans="1:35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90">
        <f t="shared" si="0"/>
        <v>0</v>
      </c>
      <c r="AI11" s="136">
        <f t="shared" si="1"/>
        <v>0</v>
      </c>
    </row>
    <row r="12" spans="1:35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90">
        <f t="shared" si="0"/>
        <v>0</v>
      </c>
      <c r="AI12" s="136">
        <f t="shared" si="1"/>
        <v>0</v>
      </c>
    </row>
    <row r="13" spans="1:35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90">
        <f t="shared" si="0"/>
        <v>0</v>
      </c>
      <c r="AI13" s="136">
        <f t="shared" si="1"/>
        <v>0</v>
      </c>
    </row>
    <row r="14" spans="1:35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90">
        <f t="shared" si="0"/>
        <v>0</v>
      </c>
      <c r="AI14" s="136">
        <f t="shared" si="1"/>
        <v>0</v>
      </c>
    </row>
    <row r="15" spans="1:35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90">
        <f t="shared" si="0"/>
        <v>0</v>
      </c>
      <c r="AI15" s="136">
        <f t="shared" si="1"/>
        <v>0</v>
      </c>
    </row>
    <row r="16" spans="1:35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90">
        <f t="shared" si="0"/>
        <v>0</v>
      </c>
      <c r="AI16" s="136">
        <f t="shared" si="1"/>
        <v>0</v>
      </c>
    </row>
    <row r="17" spans="1:35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90">
        <f t="shared" si="0"/>
        <v>0</v>
      </c>
      <c r="AI17" s="136">
        <f t="shared" si="1"/>
        <v>0</v>
      </c>
    </row>
    <row r="18" spans="1:35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90">
        <f t="shared" si="0"/>
        <v>0</v>
      </c>
      <c r="AI18" s="136">
        <f t="shared" si="1"/>
        <v>0</v>
      </c>
    </row>
    <row r="19" spans="1:35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90">
        <f t="shared" si="0"/>
        <v>0</v>
      </c>
      <c r="AI19" s="136">
        <f t="shared" si="1"/>
        <v>0</v>
      </c>
    </row>
    <row r="20" spans="1:35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90">
        <f t="shared" si="0"/>
        <v>0</v>
      </c>
      <c r="AI20" s="136">
        <f t="shared" si="1"/>
        <v>0</v>
      </c>
    </row>
    <row r="21" spans="1:35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90">
        <f t="shared" si="0"/>
        <v>0</v>
      </c>
      <c r="AI21" s="136">
        <f t="shared" si="1"/>
        <v>0</v>
      </c>
    </row>
    <row r="22" spans="1:35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90">
        <f t="shared" si="0"/>
        <v>0</v>
      </c>
      <c r="AI22" s="136">
        <f t="shared" si="1"/>
        <v>0</v>
      </c>
    </row>
    <row r="23" spans="1:35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90">
        <f t="shared" si="0"/>
        <v>0</v>
      </c>
      <c r="AI23" s="136">
        <f t="shared" si="1"/>
        <v>0</v>
      </c>
    </row>
    <row r="24" spans="1:35" ht="14.25" customHeight="1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90">
        <f t="shared" si="0"/>
        <v>0</v>
      </c>
      <c r="AI24" s="136">
        <f t="shared" si="1"/>
        <v>0</v>
      </c>
    </row>
    <row r="25" spans="1:35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90">
        <f t="shared" si="0"/>
        <v>0</v>
      </c>
      <c r="AI25" s="136">
        <f t="shared" si="1"/>
        <v>0</v>
      </c>
    </row>
    <row r="26" spans="1:35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90">
        <f t="shared" si="0"/>
        <v>0</v>
      </c>
      <c r="AI26" s="136">
        <f t="shared" si="1"/>
        <v>0</v>
      </c>
    </row>
    <row r="27" spans="1:35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90">
        <f t="shared" si="0"/>
        <v>0</v>
      </c>
      <c r="AI27" s="136">
        <f t="shared" si="1"/>
        <v>0</v>
      </c>
    </row>
    <row r="28" spans="1:35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90">
        <f t="shared" si="0"/>
        <v>0</v>
      </c>
      <c r="AI28" s="136">
        <f t="shared" si="1"/>
        <v>0</v>
      </c>
    </row>
    <row r="29" spans="1:35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90">
        <f t="shared" si="0"/>
        <v>0</v>
      </c>
      <c r="AI29" s="136">
        <f t="shared" si="1"/>
        <v>0</v>
      </c>
    </row>
    <row r="30" spans="1:35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90">
        <f t="shared" si="0"/>
        <v>0</v>
      </c>
      <c r="AI30" s="136">
        <f t="shared" si="1"/>
        <v>0</v>
      </c>
    </row>
    <row r="31" spans="1:35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90">
        <f t="shared" si="0"/>
        <v>0</v>
      </c>
      <c r="AI31" s="136">
        <f t="shared" si="1"/>
        <v>0</v>
      </c>
    </row>
    <row r="32" spans="1:35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90">
        <f t="shared" si="0"/>
        <v>0</v>
      </c>
      <c r="AI32" s="136">
        <f t="shared" si="1"/>
        <v>0</v>
      </c>
    </row>
    <row r="33" spans="1:35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90">
        <f t="shared" si="0"/>
        <v>0</v>
      </c>
      <c r="AI33" s="136">
        <f t="shared" si="1"/>
        <v>0</v>
      </c>
    </row>
    <row r="34" spans="1:35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90">
        <f t="shared" si="0"/>
        <v>0</v>
      </c>
      <c r="AI34" s="136">
        <f t="shared" si="1"/>
        <v>0</v>
      </c>
    </row>
    <row r="35" spans="1:35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90">
        <f t="shared" si="0"/>
        <v>0</v>
      </c>
      <c r="AI35" s="136">
        <f t="shared" si="1"/>
        <v>0</v>
      </c>
    </row>
    <row r="36" spans="1:35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90">
        <f t="shared" si="0"/>
        <v>0</v>
      </c>
      <c r="AI36" s="136">
        <f t="shared" si="1"/>
        <v>0</v>
      </c>
    </row>
    <row r="37" spans="1:35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90">
        <f t="shared" si="0"/>
        <v>0</v>
      </c>
      <c r="AI37" s="136">
        <f t="shared" si="1"/>
        <v>0</v>
      </c>
    </row>
    <row r="38" spans="1:35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90">
        <f t="shared" si="0"/>
        <v>0</v>
      </c>
      <c r="AI38" s="136">
        <f t="shared" si="1"/>
        <v>0</v>
      </c>
    </row>
    <row r="39" spans="1:35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90">
        <f t="shared" si="0"/>
        <v>0</v>
      </c>
      <c r="AI39" s="136">
        <f t="shared" si="1"/>
        <v>0</v>
      </c>
    </row>
    <row r="40" spans="1:35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90">
        <f t="shared" si="0"/>
        <v>0</v>
      </c>
      <c r="AI40" s="136">
        <f t="shared" si="1"/>
        <v>0</v>
      </c>
    </row>
    <row r="41" spans="1:35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90">
        <f t="shared" si="0"/>
        <v>0</v>
      </c>
      <c r="AI41" s="136">
        <f t="shared" si="1"/>
        <v>0</v>
      </c>
    </row>
    <row r="42" spans="1:35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90">
        <f t="shared" si="0"/>
        <v>0</v>
      </c>
      <c r="AI42" s="136">
        <f t="shared" si="1"/>
        <v>0</v>
      </c>
    </row>
    <row r="43" spans="1:35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90">
        <f t="shared" si="0"/>
        <v>0</v>
      </c>
      <c r="AI43" s="136">
        <f t="shared" si="1"/>
        <v>0</v>
      </c>
    </row>
    <row r="44" spans="1:35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90">
        <f t="shared" si="0"/>
        <v>0</v>
      </c>
      <c r="AI44" s="136">
        <f t="shared" si="1"/>
        <v>0</v>
      </c>
    </row>
    <row r="45" spans="1:35" x14ac:dyDescent="0.25">
      <c r="B45" s="3" t="s">
        <v>37</v>
      </c>
      <c r="C45" s="137" t="str">
        <f>IF(COUNTBLANK(C5:C44)=40," ",AVERAGE(C5:C44))</f>
        <v xml:space="preserve"> </v>
      </c>
      <c r="D45" s="137" t="str">
        <f t="shared" ref="D45:AG45" si="2">IF(COUNTBLANK(D5:D44)=40," ",AVERAGE(D5:D44))</f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ref="H45" si="3">IF(COUNTBLANK(H5:H44)=40," ",AVERAGE(H5:H44))</f>
        <v xml:space="preserve"> </v>
      </c>
      <c r="I45" s="137"/>
      <c r="J45" s="137"/>
      <c r="K45" s="137"/>
      <c r="L45" s="137"/>
      <c r="M45" s="137"/>
      <c r="N45" s="137" t="str">
        <f t="shared" ref="N45" si="4">IF(COUNTBLANK(N5:N44)=40," ",AVERAGE(N5:N44))</f>
        <v xml:space="preserve"> </v>
      </c>
      <c r="O45" s="137" t="str">
        <f t="shared" si="2"/>
        <v xml:space="preserve"> </v>
      </c>
      <c r="P45" s="137"/>
      <c r="Q45" s="137"/>
      <c r="R45" s="137"/>
      <c r="S45" s="137"/>
      <c r="T45" s="137"/>
      <c r="U45" s="137"/>
      <c r="V45" s="137"/>
      <c r="W45" s="137" t="str">
        <f t="shared" si="2"/>
        <v xml:space="preserve"> </v>
      </c>
      <c r="X45" s="137" t="str">
        <f t="shared" si="2"/>
        <v xml:space="preserve"> </v>
      </c>
      <c r="Y45" s="137" t="str">
        <f t="shared" si="2"/>
        <v xml:space="preserve"> </v>
      </c>
      <c r="Z45" s="137" t="str">
        <f t="shared" si="2"/>
        <v xml:space="preserve"> </v>
      </c>
      <c r="AA45" s="137" t="str">
        <f t="shared" si="2"/>
        <v xml:space="preserve"> </v>
      </c>
      <c r="AB45" s="137" t="str">
        <f t="shared" si="2"/>
        <v xml:space="preserve"> </v>
      </c>
      <c r="AC45" s="137" t="str">
        <f t="shared" si="2"/>
        <v xml:space="preserve"> </v>
      </c>
      <c r="AD45" s="137" t="str">
        <f t="shared" si="2"/>
        <v xml:space="preserve"> </v>
      </c>
      <c r="AE45" s="137" t="str">
        <f t="shared" si="2"/>
        <v xml:space="preserve"> </v>
      </c>
      <c r="AF45" s="137" t="str">
        <f t="shared" si="2"/>
        <v xml:space="preserve"> </v>
      </c>
      <c r="AG45" s="137" t="str">
        <f t="shared" si="2"/>
        <v xml:space="preserve"> </v>
      </c>
      <c r="AH45" s="137">
        <f>IF(COUNTBLANK(AH5:AH44)=40," ",AVERAGE(AH5:AH44))</f>
        <v>0</v>
      </c>
      <c r="AI45" s="137">
        <f>IF(COUNTBLANK(AI5:AI44)=40," ",AVERAGE(AI5:AI44))</f>
        <v>0</v>
      </c>
    </row>
    <row r="46" spans="1:35" x14ac:dyDescent="0.25">
      <c r="B46" s="3" t="s">
        <v>42</v>
      </c>
      <c r="C46" s="5" t="str">
        <f t="shared" ref="C46:AG46" si="5">IF(C45="","",IF(ISERROR(ROUND(C45*10/C3,1))," ",(ROUND(C45*10/C3,1))))</f>
        <v xml:space="preserve"> </v>
      </c>
      <c r="D46" s="5" t="str">
        <f t="shared" si="5"/>
        <v xml:space="preserve"> </v>
      </c>
      <c r="E46" s="5" t="str">
        <f t="shared" si="5"/>
        <v xml:space="preserve"> </v>
      </c>
      <c r="F46" s="5" t="str">
        <f t="shared" si="5"/>
        <v xml:space="preserve"> </v>
      </c>
      <c r="G46" s="5" t="str">
        <f t="shared" si="5"/>
        <v xml:space="preserve"> </v>
      </c>
      <c r="H46" s="5" t="str">
        <f t="shared" ref="H46" si="6">IF(H45="","",IF(ISERROR(ROUND(H45*10/H3,1))," ",(ROUND(H45*10/H3,1))))</f>
        <v xml:space="preserve"> </v>
      </c>
      <c r="I46" s="5"/>
      <c r="J46" s="5"/>
      <c r="K46" s="5"/>
      <c r="L46" s="5"/>
      <c r="M46" s="5"/>
      <c r="N46" s="5" t="str">
        <f t="shared" ref="N46" si="7">IF(N45="","",IF(ISERROR(ROUND(N45*10/N3,1))," ",(ROUND(N45*10/N3,1))))</f>
        <v xml:space="preserve"> </v>
      </c>
      <c r="O46" s="5" t="str">
        <f t="shared" si="5"/>
        <v xml:space="preserve"> </v>
      </c>
      <c r="P46" s="5"/>
      <c r="Q46" s="5"/>
      <c r="R46" s="5"/>
      <c r="S46" s="5"/>
      <c r="T46" s="5"/>
      <c r="U46" s="5"/>
      <c r="V46" s="5"/>
      <c r="W46" s="5" t="str">
        <f t="shared" si="5"/>
        <v xml:space="preserve"> </v>
      </c>
      <c r="X46" s="5" t="str">
        <f t="shared" si="5"/>
        <v xml:space="preserve"> </v>
      </c>
      <c r="Y46" s="5" t="str">
        <f t="shared" si="5"/>
        <v xml:space="preserve"> </v>
      </c>
      <c r="Z46" s="5" t="str">
        <f t="shared" si="5"/>
        <v xml:space="preserve"> </v>
      </c>
      <c r="AA46" s="5" t="str">
        <f t="shared" si="5"/>
        <v xml:space="preserve"> </v>
      </c>
      <c r="AB46" s="5" t="str">
        <f t="shared" si="5"/>
        <v xml:space="preserve"> </v>
      </c>
      <c r="AC46" s="5" t="str">
        <f t="shared" si="5"/>
        <v xml:space="preserve"> </v>
      </c>
      <c r="AD46" s="5" t="str">
        <f t="shared" si="5"/>
        <v xml:space="preserve"> </v>
      </c>
      <c r="AE46" s="5" t="str">
        <f t="shared" si="5"/>
        <v xml:space="preserve"> </v>
      </c>
      <c r="AF46" s="5" t="str">
        <f t="shared" si="5"/>
        <v xml:space="preserve"> </v>
      </c>
      <c r="AG46" s="5" t="str">
        <f t="shared" si="5"/>
        <v xml:space="preserve"> </v>
      </c>
      <c r="AH46" s="5">
        <f>IF(AH45="","",IF(ISERROR(ROUND(AH45*10/AH4,1))," ",(ROUND(AH45*10/AH4,1))))</f>
        <v>0</v>
      </c>
      <c r="AI46" s="5" t="str">
        <f>IF(AI45="","",IF(ISERROR(ROUND(AI45*10/AI4,1))," ",(ROUND(AI45*10/AI4,1))))</f>
        <v xml:space="preserve"> </v>
      </c>
    </row>
    <row r="47" spans="1:35" hidden="1" x14ac:dyDescent="0.25"/>
    <row r="48" spans="1:35" x14ac:dyDescent="0.25">
      <c r="B48" s="3" t="s">
        <v>377</v>
      </c>
      <c r="C48" s="5">
        <f>COUNTIF(C5:C44,"&gt;="&amp;(0.7*C3))</f>
        <v>0</v>
      </c>
      <c r="D48" s="5">
        <f t="shared" ref="D48:AG48" si="8">COUNTIF(D5:D44,"&gt;="&amp;(0.7*D3))</f>
        <v>0</v>
      </c>
      <c r="E48" s="5">
        <f t="shared" si="8"/>
        <v>0</v>
      </c>
      <c r="F48" s="5">
        <f t="shared" si="8"/>
        <v>0</v>
      </c>
      <c r="G48" s="5">
        <f t="shared" si="8"/>
        <v>0</v>
      </c>
      <c r="H48" s="5">
        <f t="shared" si="8"/>
        <v>0</v>
      </c>
      <c r="I48" s="5">
        <f t="shared" si="8"/>
        <v>0</v>
      </c>
      <c r="J48" s="5">
        <f t="shared" si="8"/>
        <v>0</v>
      </c>
      <c r="K48" s="5">
        <f t="shared" si="8"/>
        <v>0</v>
      </c>
      <c r="L48" s="5">
        <f t="shared" si="8"/>
        <v>0</v>
      </c>
      <c r="M48" s="5">
        <f t="shared" si="8"/>
        <v>0</v>
      </c>
      <c r="N48" s="5">
        <f t="shared" si="8"/>
        <v>0</v>
      </c>
      <c r="O48" s="5">
        <f t="shared" si="8"/>
        <v>0</v>
      </c>
      <c r="P48" s="5">
        <f t="shared" si="8"/>
        <v>0</v>
      </c>
      <c r="Q48" s="5">
        <f t="shared" si="8"/>
        <v>0</v>
      </c>
      <c r="R48" s="5">
        <f t="shared" si="8"/>
        <v>0</v>
      </c>
      <c r="S48" s="5">
        <f t="shared" si="8"/>
        <v>0</v>
      </c>
      <c r="T48" s="5">
        <f t="shared" si="8"/>
        <v>0</v>
      </c>
      <c r="U48" s="5">
        <f t="shared" si="8"/>
        <v>0</v>
      </c>
      <c r="V48" s="5">
        <f t="shared" si="8"/>
        <v>0</v>
      </c>
      <c r="W48" s="5">
        <f t="shared" si="8"/>
        <v>0</v>
      </c>
      <c r="X48" s="5">
        <f t="shared" si="8"/>
        <v>0</v>
      </c>
      <c r="Y48" s="5">
        <f t="shared" si="8"/>
        <v>0</v>
      </c>
      <c r="Z48" s="5">
        <f t="shared" si="8"/>
        <v>0</v>
      </c>
      <c r="AA48" s="5">
        <f t="shared" si="8"/>
        <v>0</v>
      </c>
      <c r="AB48" s="5">
        <f t="shared" si="8"/>
        <v>0</v>
      </c>
      <c r="AC48" s="5">
        <f t="shared" si="8"/>
        <v>0</v>
      </c>
      <c r="AD48" s="5">
        <f t="shared" si="8"/>
        <v>0</v>
      </c>
      <c r="AE48" s="5">
        <f t="shared" si="8"/>
        <v>0</v>
      </c>
      <c r="AF48" s="5">
        <f t="shared" si="8"/>
        <v>0</v>
      </c>
      <c r="AG48" s="5">
        <f t="shared" si="8"/>
        <v>0</v>
      </c>
    </row>
    <row r="49" spans="2:35" ht="15.75" thickBot="1" x14ac:dyDescent="0.3"/>
    <row r="50" spans="2:35" ht="15.75" thickBot="1" x14ac:dyDescent="0.3">
      <c r="C50" s="347" t="str">
        <f>C4</f>
        <v>Q1</v>
      </c>
      <c r="D50" s="348" t="str">
        <f t="shared" ref="D50:L50" si="9">D4</f>
        <v>Q2</v>
      </c>
      <c r="E50" s="348" t="str">
        <f t="shared" si="9"/>
        <v>Q3</v>
      </c>
      <c r="F50" s="348" t="str">
        <f t="shared" si="9"/>
        <v>Q4</v>
      </c>
      <c r="G50" s="348" t="str">
        <f t="shared" si="9"/>
        <v>Q5</v>
      </c>
      <c r="H50" s="348" t="str">
        <f t="shared" si="9"/>
        <v>Q6</v>
      </c>
      <c r="I50" s="348" t="str">
        <f t="shared" si="9"/>
        <v>Q7</v>
      </c>
      <c r="J50" s="348" t="str">
        <f t="shared" si="9"/>
        <v>Q8</v>
      </c>
      <c r="K50" s="348" t="str">
        <f t="shared" si="9"/>
        <v>Q9</v>
      </c>
      <c r="L50" s="349" t="str">
        <f t="shared" si="9"/>
        <v>Q10</v>
      </c>
    </row>
    <row r="51" spans="2:35" ht="54" customHeight="1" thickBot="1" x14ac:dyDescent="0.3">
      <c r="B51" s="584" t="s">
        <v>420</v>
      </c>
      <c r="C51" s="590" t="s">
        <v>410</v>
      </c>
      <c r="D51" s="590"/>
      <c r="E51" s="590"/>
      <c r="F51" s="590"/>
      <c r="G51" s="590"/>
      <c r="H51" s="590"/>
      <c r="I51" s="590"/>
      <c r="J51" s="590"/>
      <c r="K51" s="590"/>
      <c r="L51" s="591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556" t="s">
        <v>412</v>
      </c>
      <c r="AI51" s="558" t="s">
        <v>413</v>
      </c>
    </row>
    <row r="52" spans="2:35" ht="15.75" hidden="1" thickBot="1" x14ac:dyDescent="0.3">
      <c r="B52" s="585"/>
      <c r="C52" s="592" t="s">
        <v>411</v>
      </c>
      <c r="D52" s="593"/>
      <c r="E52" s="593"/>
      <c r="F52" s="593"/>
      <c r="G52" s="593"/>
      <c r="H52" s="593"/>
      <c r="I52" s="593"/>
      <c r="J52" s="593"/>
      <c r="K52" s="593"/>
      <c r="L52" s="594"/>
      <c r="AH52" s="586"/>
      <c r="AI52" s="587"/>
    </row>
    <row r="53" spans="2:35" x14ac:dyDescent="0.25">
      <c r="B53" s="583" t="s">
        <v>383</v>
      </c>
      <c r="C53" s="375"/>
      <c r="D53" s="369"/>
      <c r="E53" s="369"/>
      <c r="F53" s="369"/>
      <c r="G53" s="369"/>
      <c r="H53" s="369"/>
      <c r="I53" s="369"/>
      <c r="J53" s="369"/>
      <c r="K53" s="369"/>
      <c r="L53" s="376"/>
      <c r="AH53" s="599" t="str">
        <f>IF(AI53=0,"",SUM(C54:L54))</f>
        <v/>
      </c>
      <c r="AI53" s="563">
        <f>COUNT(C54:L54)</f>
        <v>0</v>
      </c>
    </row>
    <row r="54" spans="2:35" hidden="1" x14ac:dyDescent="0.25">
      <c r="B54" s="575"/>
      <c r="C54" s="377" t="str">
        <f>IF(C53="x",C48,"")</f>
        <v/>
      </c>
      <c r="D54" s="370" t="str">
        <f t="shared" ref="D54:L54" si="10">IF(D53="x",D48,"")</f>
        <v/>
      </c>
      <c r="E54" s="370" t="str">
        <f t="shared" si="10"/>
        <v/>
      </c>
      <c r="F54" s="370" t="str">
        <f t="shared" si="10"/>
        <v/>
      </c>
      <c r="G54" s="370" t="str">
        <f t="shared" si="10"/>
        <v/>
      </c>
      <c r="H54" s="370" t="str">
        <f t="shared" si="10"/>
        <v/>
      </c>
      <c r="I54" s="370" t="str">
        <f t="shared" si="10"/>
        <v/>
      </c>
      <c r="J54" s="370" t="str">
        <f t="shared" si="10"/>
        <v/>
      </c>
      <c r="K54" s="370" t="str">
        <f t="shared" si="10"/>
        <v/>
      </c>
      <c r="L54" s="378" t="str">
        <f t="shared" si="10"/>
        <v/>
      </c>
      <c r="AH54" s="599"/>
      <c r="AI54" s="563"/>
    </row>
    <row r="55" spans="2:35" x14ac:dyDescent="0.25">
      <c r="B55" s="575" t="s">
        <v>385</v>
      </c>
      <c r="C55" s="379"/>
      <c r="D55" s="371"/>
      <c r="E55" s="371"/>
      <c r="F55" s="371"/>
      <c r="G55" s="371"/>
      <c r="H55" s="371"/>
      <c r="I55" s="371"/>
      <c r="J55" s="371"/>
      <c r="K55" s="371"/>
      <c r="L55" s="380"/>
      <c r="AH55" s="599" t="str">
        <f t="shared" ref="AH55" si="11">IF(AI55=0,"",SUM(C56:L56))</f>
        <v/>
      </c>
      <c r="AI55" s="563">
        <f t="shared" ref="AI55" si="12">COUNT(C56:L56)</f>
        <v>0</v>
      </c>
    </row>
    <row r="56" spans="2:35" hidden="1" x14ac:dyDescent="0.25">
      <c r="B56" s="575"/>
      <c r="C56" s="377" t="str">
        <f>IF(C55="x",C48,"")</f>
        <v/>
      </c>
      <c r="D56" s="370" t="str">
        <f t="shared" ref="D56:L56" si="13">IF(D55="x",D48,"")</f>
        <v/>
      </c>
      <c r="E56" s="370" t="str">
        <f t="shared" si="13"/>
        <v/>
      </c>
      <c r="F56" s="370" t="str">
        <f t="shared" si="13"/>
        <v/>
      </c>
      <c r="G56" s="370" t="str">
        <f t="shared" si="13"/>
        <v/>
      </c>
      <c r="H56" s="370" t="str">
        <f t="shared" si="13"/>
        <v/>
      </c>
      <c r="I56" s="370" t="str">
        <f t="shared" si="13"/>
        <v/>
      </c>
      <c r="J56" s="370" t="str">
        <f t="shared" si="13"/>
        <v/>
      </c>
      <c r="K56" s="370" t="str">
        <f t="shared" si="13"/>
        <v/>
      </c>
      <c r="L56" s="378" t="str">
        <f t="shared" si="13"/>
        <v/>
      </c>
      <c r="AH56" s="599"/>
      <c r="AI56" s="563"/>
    </row>
    <row r="57" spans="2:35" x14ac:dyDescent="0.25">
      <c r="B57" s="575" t="s">
        <v>388</v>
      </c>
      <c r="C57" s="379"/>
      <c r="D57" s="371"/>
      <c r="E57" s="371"/>
      <c r="F57" s="371"/>
      <c r="G57" s="371"/>
      <c r="H57" s="371"/>
      <c r="I57" s="371"/>
      <c r="J57" s="371"/>
      <c r="K57" s="371"/>
      <c r="L57" s="380"/>
      <c r="AH57" s="599" t="str">
        <f t="shared" ref="AH57" si="14">IF(AI57=0,"",SUM(C58:L58))</f>
        <v/>
      </c>
      <c r="AI57" s="563">
        <f t="shared" ref="AI57" si="15">COUNT(C58:L58)</f>
        <v>0</v>
      </c>
    </row>
    <row r="58" spans="2:35" hidden="1" x14ac:dyDescent="0.25">
      <c r="B58" s="575"/>
      <c r="C58" s="377" t="str">
        <f>IF(C57="x",C48,"")</f>
        <v/>
      </c>
      <c r="D58" s="370" t="str">
        <f t="shared" ref="D58:L58" si="16">IF(D57="x",D48,"")</f>
        <v/>
      </c>
      <c r="E58" s="370" t="str">
        <f t="shared" si="16"/>
        <v/>
      </c>
      <c r="F58" s="370" t="str">
        <f t="shared" si="16"/>
        <v/>
      </c>
      <c r="G58" s="370" t="str">
        <f t="shared" si="16"/>
        <v/>
      </c>
      <c r="H58" s="370" t="str">
        <f t="shared" si="16"/>
        <v/>
      </c>
      <c r="I58" s="370" t="str">
        <f t="shared" si="16"/>
        <v/>
      </c>
      <c r="J58" s="370" t="str">
        <f t="shared" si="16"/>
        <v/>
      </c>
      <c r="K58" s="370" t="str">
        <f t="shared" si="16"/>
        <v/>
      </c>
      <c r="L58" s="378" t="str">
        <f t="shared" si="16"/>
        <v/>
      </c>
      <c r="AH58" s="599"/>
      <c r="AI58" s="563"/>
    </row>
    <row r="59" spans="2:35" ht="15.75" thickBot="1" x14ac:dyDescent="0.3">
      <c r="B59" s="575" t="s">
        <v>389</v>
      </c>
      <c r="C59" s="379"/>
      <c r="D59" s="371"/>
      <c r="E59" s="371"/>
      <c r="F59" s="371"/>
      <c r="G59" s="371"/>
      <c r="H59" s="371"/>
      <c r="I59" s="371"/>
      <c r="J59" s="371"/>
      <c r="K59" s="371"/>
      <c r="L59" s="380"/>
      <c r="AH59" s="599" t="str">
        <f t="shared" ref="AH59:AH81" si="17">IF(AI59=0,"",SUM(C60:L60))</f>
        <v/>
      </c>
      <c r="AI59" s="563">
        <f t="shared" ref="AI59" si="18">COUNT(C60:L60)</f>
        <v>0</v>
      </c>
    </row>
    <row r="60" spans="2:35" ht="15.75" hidden="1" thickBot="1" x14ac:dyDescent="0.3">
      <c r="B60" s="576"/>
      <c r="C60" s="381" t="str">
        <f>IF(C59="x",C48,"")</f>
        <v/>
      </c>
      <c r="D60" s="372" t="str">
        <f t="shared" ref="D60:L60" si="19">IF(D59="x",D48,"")</f>
        <v/>
      </c>
      <c r="E60" s="372" t="str">
        <f t="shared" si="19"/>
        <v/>
      </c>
      <c r="F60" s="372" t="str">
        <f t="shared" si="19"/>
        <v/>
      </c>
      <c r="G60" s="372" t="str">
        <f t="shared" si="19"/>
        <v/>
      </c>
      <c r="H60" s="372" t="str">
        <f t="shared" si="19"/>
        <v/>
      </c>
      <c r="I60" s="372" t="str">
        <f t="shared" si="19"/>
        <v/>
      </c>
      <c r="J60" s="372" t="str">
        <f t="shared" si="19"/>
        <v/>
      </c>
      <c r="K60" s="372" t="str">
        <f t="shared" si="19"/>
        <v/>
      </c>
      <c r="L60" s="382" t="str">
        <f t="shared" si="19"/>
        <v/>
      </c>
      <c r="AH60" s="599"/>
      <c r="AI60" s="563"/>
    </row>
    <row r="61" spans="2:35" x14ac:dyDescent="0.25">
      <c r="B61" s="577" t="s">
        <v>391</v>
      </c>
      <c r="C61" s="383"/>
      <c r="D61" s="373"/>
      <c r="E61" s="373"/>
      <c r="F61" s="373"/>
      <c r="G61" s="373"/>
      <c r="H61" s="373"/>
      <c r="I61" s="373"/>
      <c r="J61" s="373"/>
      <c r="K61" s="373"/>
      <c r="L61" s="384"/>
      <c r="AH61" s="600" t="str">
        <f t="shared" si="17"/>
        <v/>
      </c>
      <c r="AI61" s="569">
        <f t="shared" ref="AI61" si="20">COUNT(C62:L62)</f>
        <v>0</v>
      </c>
    </row>
    <row r="62" spans="2:35" hidden="1" x14ac:dyDescent="0.25">
      <c r="B62" s="578"/>
      <c r="C62" s="377" t="str">
        <f>IF(C61="x",C48,"")</f>
        <v/>
      </c>
      <c r="D62" s="370" t="str">
        <f t="shared" ref="D62:L62" si="21">IF(D61="x",D48,"")</f>
        <v/>
      </c>
      <c r="E62" s="370" t="str">
        <f t="shared" si="21"/>
        <v/>
      </c>
      <c r="F62" s="370" t="str">
        <f t="shared" si="21"/>
        <v/>
      </c>
      <c r="G62" s="370" t="str">
        <f t="shared" si="21"/>
        <v/>
      </c>
      <c r="H62" s="370" t="str">
        <f t="shared" si="21"/>
        <v/>
      </c>
      <c r="I62" s="370" t="str">
        <f t="shared" si="21"/>
        <v/>
      </c>
      <c r="J62" s="370" t="str">
        <f t="shared" si="21"/>
        <v/>
      </c>
      <c r="K62" s="370" t="str">
        <f t="shared" si="21"/>
        <v/>
      </c>
      <c r="L62" s="378" t="str">
        <f t="shared" si="21"/>
        <v/>
      </c>
      <c r="AH62" s="600"/>
      <c r="AI62" s="569"/>
    </row>
    <row r="63" spans="2:35" ht="15.75" thickBot="1" x14ac:dyDescent="0.3">
      <c r="B63" s="578" t="s">
        <v>393</v>
      </c>
      <c r="C63" s="385"/>
      <c r="D63" s="374"/>
      <c r="E63" s="374"/>
      <c r="F63" s="374"/>
      <c r="G63" s="374"/>
      <c r="H63" s="374"/>
      <c r="I63" s="374"/>
      <c r="J63" s="374"/>
      <c r="K63" s="374"/>
      <c r="L63" s="386"/>
      <c r="AH63" s="600" t="str">
        <f t="shared" si="17"/>
        <v/>
      </c>
      <c r="AI63" s="569">
        <f t="shared" ref="AI63" si="22">COUNT(C64:L64)</f>
        <v>0</v>
      </c>
    </row>
    <row r="64" spans="2:35" ht="15.75" hidden="1" thickBot="1" x14ac:dyDescent="0.3">
      <c r="B64" s="582"/>
      <c r="C64" s="381" t="str">
        <f>IF(C63="x",C48,"")</f>
        <v/>
      </c>
      <c r="D64" s="372" t="str">
        <f t="shared" ref="D64:L64" si="23">IF(D63="x",D48,"")</f>
        <v/>
      </c>
      <c r="E64" s="372" t="str">
        <f t="shared" si="23"/>
        <v/>
      </c>
      <c r="F64" s="372" t="str">
        <f t="shared" si="23"/>
        <v/>
      </c>
      <c r="G64" s="372" t="str">
        <f t="shared" si="23"/>
        <v/>
      </c>
      <c r="H64" s="372" t="str">
        <f t="shared" si="23"/>
        <v/>
      </c>
      <c r="I64" s="372" t="str">
        <f t="shared" si="23"/>
        <v/>
      </c>
      <c r="J64" s="372" t="str">
        <f t="shared" si="23"/>
        <v/>
      </c>
      <c r="K64" s="372" t="str">
        <f t="shared" si="23"/>
        <v/>
      </c>
      <c r="L64" s="382" t="str">
        <f t="shared" si="23"/>
        <v/>
      </c>
      <c r="AH64" s="600"/>
      <c r="AI64" s="569"/>
    </row>
    <row r="65" spans="2:35" x14ac:dyDescent="0.25">
      <c r="B65" s="583" t="s">
        <v>394</v>
      </c>
      <c r="C65" s="375"/>
      <c r="D65" s="369"/>
      <c r="E65" s="369"/>
      <c r="F65" s="369"/>
      <c r="G65" s="369"/>
      <c r="H65" s="369"/>
      <c r="I65" s="369"/>
      <c r="J65" s="369"/>
      <c r="K65" s="369"/>
      <c r="L65" s="376"/>
      <c r="AH65" s="599" t="str">
        <f t="shared" si="17"/>
        <v/>
      </c>
      <c r="AI65" s="563">
        <f t="shared" ref="AI65" si="24">COUNT(C66:L66)</f>
        <v>0</v>
      </c>
    </row>
    <row r="66" spans="2:35" hidden="1" x14ac:dyDescent="0.25">
      <c r="B66" s="575"/>
      <c r="C66" s="377" t="str">
        <f>IF(C65="x",C48,"")</f>
        <v/>
      </c>
      <c r="D66" s="370" t="str">
        <f t="shared" ref="D66:L66" si="25">IF(D65="x",D48,"")</f>
        <v/>
      </c>
      <c r="E66" s="370" t="str">
        <f t="shared" si="25"/>
        <v/>
      </c>
      <c r="F66" s="370" t="str">
        <f t="shared" si="25"/>
        <v/>
      </c>
      <c r="G66" s="370" t="str">
        <f t="shared" si="25"/>
        <v/>
      </c>
      <c r="H66" s="370" t="str">
        <f t="shared" si="25"/>
        <v/>
      </c>
      <c r="I66" s="370" t="str">
        <f t="shared" si="25"/>
        <v/>
      </c>
      <c r="J66" s="370" t="str">
        <f t="shared" si="25"/>
        <v/>
      </c>
      <c r="K66" s="370" t="str">
        <f t="shared" si="25"/>
        <v/>
      </c>
      <c r="L66" s="378" t="str">
        <f t="shared" si="25"/>
        <v/>
      </c>
      <c r="AH66" s="599"/>
      <c r="AI66" s="563"/>
    </row>
    <row r="67" spans="2:35" x14ac:dyDescent="0.25">
      <c r="B67" s="575" t="s">
        <v>395</v>
      </c>
      <c r="C67" s="379"/>
      <c r="D67" s="371"/>
      <c r="E67" s="371"/>
      <c r="F67" s="371"/>
      <c r="G67" s="371"/>
      <c r="H67" s="371"/>
      <c r="I67" s="371"/>
      <c r="J67" s="371"/>
      <c r="K67" s="371"/>
      <c r="L67" s="380"/>
      <c r="AH67" s="599" t="str">
        <f t="shared" si="17"/>
        <v/>
      </c>
      <c r="AI67" s="563">
        <f t="shared" ref="AI67" si="26">COUNT(C68:L68)</f>
        <v>0</v>
      </c>
    </row>
    <row r="68" spans="2:35" hidden="1" x14ac:dyDescent="0.25">
      <c r="B68" s="575"/>
      <c r="C68" s="377" t="str">
        <f>IF(C67="x",C48,"")</f>
        <v/>
      </c>
      <c r="D68" s="370" t="str">
        <f t="shared" ref="D68:L68" si="27">IF(D67="x",D48,"")</f>
        <v/>
      </c>
      <c r="E68" s="370" t="str">
        <f t="shared" si="27"/>
        <v/>
      </c>
      <c r="F68" s="370" t="str">
        <f t="shared" si="27"/>
        <v/>
      </c>
      <c r="G68" s="370" t="str">
        <f t="shared" si="27"/>
        <v/>
      </c>
      <c r="H68" s="370" t="str">
        <f t="shared" si="27"/>
        <v/>
      </c>
      <c r="I68" s="370" t="str">
        <f t="shared" si="27"/>
        <v/>
      </c>
      <c r="J68" s="370" t="str">
        <f t="shared" si="27"/>
        <v/>
      </c>
      <c r="K68" s="370" t="str">
        <f t="shared" si="27"/>
        <v/>
      </c>
      <c r="L68" s="378" t="str">
        <f t="shared" si="27"/>
        <v/>
      </c>
      <c r="AH68" s="599"/>
      <c r="AI68" s="563"/>
    </row>
    <row r="69" spans="2:35" ht="15.75" thickBot="1" x14ac:dyDescent="0.3">
      <c r="B69" s="575" t="s">
        <v>396</v>
      </c>
      <c r="C69" s="379"/>
      <c r="D69" s="371"/>
      <c r="E69" s="371"/>
      <c r="F69" s="371"/>
      <c r="G69" s="371"/>
      <c r="H69" s="371"/>
      <c r="I69" s="371"/>
      <c r="J69" s="371"/>
      <c r="K69" s="371"/>
      <c r="L69" s="380"/>
      <c r="AH69" s="599" t="str">
        <f t="shared" si="17"/>
        <v/>
      </c>
      <c r="AI69" s="563">
        <f t="shared" ref="AI69" si="28">COUNT(C70:L70)</f>
        <v>0</v>
      </c>
    </row>
    <row r="70" spans="2:35" ht="15.75" hidden="1" thickBot="1" x14ac:dyDescent="0.3">
      <c r="B70" s="576"/>
      <c r="C70" s="381" t="str">
        <f>IF(C69="x",C48,"")</f>
        <v/>
      </c>
      <c r="D70" s="372" t="str">
        <f t="shared" ref="D70:L70" si="29">IF(D69="x",D48,"")</f>
        <v/>
      </c>
      <c r="E70" s="372" t="str">
        <f t="shared" si="29"/>
        <v/>
      </c>
      <c r="F70" s="372" t="str">
        <f t="shared" si="29"/>
        <v/>
      </c>
      <c r="G70" s="372" t="str">
        <f t="shared" si="29"/>
        <v/>
      </c>
      <c r="H70" s="372" t="str">
        <f t="shared" si="29"/>
        <v/>
      </c>
      <c r="I70" s="372" t="str">
        <f t="shared" si="29"/>
        <v/>
      </c>
      <c r="J70" s="372" t="str">
        <f t="shared" si="29"/>
        <v/>
      </c>
      <c r="K70" s="372" t="str">
        <f t="shared" si="29"/>
        <v/>
      </c>
      <c r="L70" s="382" t="str">
        <f t="shared" si="29"/>
        <v/>
      </c>
      <c r="AH70" s="599"/>
      <c r="AI70" s="563"/>
    </row>
    <row r="71" spans="2:35" x14ac:dyDescent="0.25">
      <c r="B71" s="577" t="s">
        <v>397</v>
      </c>
      <c r="C71" s="383"/>
      <c r="D71" s="373"/>
      <c r="E71" s="373"/>
      <c r="F71" s="373"/>
      <c r="G71" s="373"/>
      <c r="H71" s="373"/>
      <c r="I71" s="373"/>
      <c r="J71" s="373"/>
      <c r="K71" s="373"/>
      <c r="L71" s="384"/>
      <c r="AH71" s="600" t="str">
        <f t="shared" si="17"/>
        <v/>
      </c>
      <c r="AI71" s="569">
        <f t="shared" ref="AI71" si="30">COUNT(C72:L72)</f>
        <v>0</v>
      </c>
    </row>
    <row r="72" spans="2:35" hidden="1" x14ac:dyDescent="0.25">
      <c r="B72" s="578"/>
      <c r="C72" s="377" t="str">
        <f>IF(C71="x",C48,"")</f>
        <v/>
      </c>
      <c r="D72" s="370" t="str">
        <f t="shared" ref="D72:L72" si="31">IF(D71="x",D48,"")</f>
        <v/>
      </c>
      <c r="E72" s="370" t="str">
        <f t="shared" si="31"/>
        <v/>
      </c>
      <c r="F72" s="370" t="str">
        <f t="shared" si="31"/>
        <v/>
      </c>
      <c r="G72" s="370" t="str">
        <f t="shared" si="31"/>
        <v/>
      </c>
      <c r="H72" s="370" t="str">
        <f t="shared" si="31"/>
        <v/>
      </c>
      <c r="I72" s="370" t="str">
        <f t="shared" si="31"/>
        <v/>
      </c>
      <c r="J72" s="370" t="str">
        <f t="shared" si="31"/>
        <v/>
      </c>
      <c r="K72" s="370" t="str">
        <f t="shared" si="31"/>
        <v/>
      </c>
      <c r="L72" s="378" t="str">
        <f t="shared" si="31"/>
        <v/>
      </c>
      <c r="AH72" s="600"/>
      <c r="AI72" s="569"/>
    </row>
    <row r="73" spans="2:35" ht="15.75" thickBot="1" x14ac:dyDescent="0.3">
      <c r="B73" s="578" t="s">
        <v>398</v>
      </c>
      <c r="C73" s="385"/>
      <c r="D73" s="374"/>
      <c r="E73" s="374"/>
      <c r="F73" s="374"/>
      <c r="G73" s="374"/>
      <c r="H73" s="374"/>
      <c r="I73" s="374"/>
      <c r="J73" s="374"/>
      <c r="K73" s="374"/>
      <c r="L73" s="386"/>
      <c r="AH73" s="600" t="str">
        <f t="shared" si="17"/>
        <v/>
      </c>
      <c r="AI73" s="569">
        <f t="shared" ref="AI73" si="32">COUNT(C74:L74)</f>
        <v>0</v>
      </c>
    </row>
    <row r="74" spans="2:35" ht="15.75" hidden="1" thickBot="1" x14ac:dyDescent="0.3">
      <c r="B74" s="582"/>
      <c r="C74" s="381" t="str">
        <f>IF(C73="x",C48,"")</f>
        <v/>
      </c>
      <c r="D74" s="372" t="str">
        <f t="shared" ref="D74:L74" si="33">IF(D73="x",D48,"")</f>
        <v/>
      </c>
      <c r="E74" s="372" t="str">
        <f t="shared" si="33"/>
        <v/>
      </c>
      <c r="F74" s="372" t="str">
        <f t="shared" si="33"/>
        <v/>
      </c>
      <c r="G74" s="372" t="str">
        <f t="shared" si="33"/>
        <v/>
      </c>
      <c r="H74" s="372" t="str">
        <f t="shared" si="33"/>
        <v/>
      </c>
      <c r="I74" s="372" t="str">
        <f t="shared" si="33"/>
        <v/>
      </c>
      <c r="J74" s="372" t="str">
        <f t="shared" si="33"/>
        <v/>
      </c>
      <c r="K74" s="372" t="str">
        <f t="shared" si="33"/>
        <v/>
      </c>
      <c r="L74" s="382" t="str">
        <f t="shared" si="33"/>
        <v/>
      </c>
      <c r="AH74" s="600"/>
      <c r="AI74" s="569"/>
    </row>
    <row r="75" spans="2:35" x14ac:dyDescent="0.25">
      <c r="B75" s="583" t="s">
        <v>399</v>
      </c>
      <c r="C75" s="375"/>
      <c r="D75" s="369"/>
      <c r="E75" s="369"/>
      <c r="F75" s="369"/>
      <c r="G75" s="369"/>
      <c r="H75" s="369"/>
      <c r="I75" s="369"/>
      <c r="J75" s="369"/>
      <c r="K75" s="369"/>
      <c r="L75" s="376"/>
      <c r="AH75" s="599" t="str">
        <f t="shared" si="17"/>
        <v/>
      </c>
      <c r="AI75" s="563">
        <f t="shared" ref="AI75" si="34">COUNT(C76:L76)</f>
        <v>0</v>
      </c>
    </row>
    <row r="76" spans="2:35" hidden="1" x14ac:dyDescent="0.25">
      <c r="B76" s="575"/>
      <c r="C76" s="377" t="str">
        <f>IF(C75="x",C48,"")</f>
        <v/>
      </c>
      <c r="D76" s="370" t="str">
        <f t="shared" ref="D76:L76" si="35">IF(D75="x",D48,"")</f>
        <v/>
      </c>
      <c r="E76" s="370" t="str">
        <f t="shared" si="35"/>
        <v/>
      </c>
      <c r="F76" s="370" t="str">
        <f t="shared" si="35"/>
        <v/>
      </c>
      <c r="G76" s="370" t="str">
        <f t="shared" si="35"/>
        <v/>
      </c>
      <c r="H76" s="370" t="str">
        <f t="shared" si="35"/>
        <v/>
      </c>
      <c r="I76" s="370" t="str">
        <f t="shared" si="35"/>
        <v/>
      </c>
      <c r="J76" s="370" t="str">
        <f t="shared" si="35"/>
        <v/>
      </c>
      <c r="K76" s="370" t="str">
        <f t="shared" si="35"/>
        <v/>
      </c>
      <c r="L76" s="378" t="str">
        <f t="shared" si="35"/>
        <v/>
      </c>
      <c r="AH76" s="599"/>
      <c r="AI76" s="563"/>
    </row>
    <row r="77" spans="2:35" ht="15.75" thickBot="1" x14ac:dyDescent="0.3">
      <c r="B77" s="575" t="s">
        <v>400</v>
      </c>
      <c r="C77" s="379"/>
      <c r="D77" s="371"/>
      <c r="E77" s="371"/>
      <c r="F77" s="371"/>
      <c r="G77" s="371"/>
      <c r="H77" s="371"/>
      <c r="I77" s="371"/>
      <c r="J77" s="371"/>
      <c r="K77" s="371"/>
      <c r="L77" s="380"/>
      <c r="AH77" s="599" t="str">
        <f t="shared" si="17"/>
        <v/>
      </c>
      <c r="AI77" s="563">
        <f t="shared" ref="AI77" si="36">COUNT(C78:L78)</f>
        <v>0</v>
      </c>
    </row>
    <row r="78" spans="2:35" ht="15.75" hidden="1" thickBot="1" x14ac:dyDescent="0.3">
      <c r="B78" s="576"/>
      <c r="C78" s="381" t="str">
        <f>IF(C77="x",C48,"")</f>
        <v/>
      </c>
      <c r="D78" s="372" t="str">
        <f t="shared" ref="D78:L78" si="37">IF(D77="x",D48,"")</f>
        <v/>
      </c>
      <c r="E78" s="372" t="str">
        <f t="shared" si="37"/>
        <v/>
      </c>
      <c r="F78" s="372" t="str">
        <f t="shared" si="37"/>
        <v/>
      </c>
      <c r="G78" s="372" t="str">
        <f t="shared" si="37"/>
        <v/>
      </c>
      <c r="H78" s="372" t="str">
        <f t="shared" si="37"/>
        <v/>
      </c>
      <c r="I78" s="372" t="str">
        <f t="shared" si="37"/>
        <v/>
      </c>
      <c r="J78" s="372" t="str">
        <f t="shared" si="37"/>
        <v/>
      </c>
      <c r="K78" s="372" t="str">
        <f t="shared" si="37"/>
        <v/>
      </c>
      <c r="L78" s="382" t="str">
        <f t="shared" si="37"/>
        <v/>
      </c>
      <c r="AH78" s="599"/>
      <c r="AI78" s="563"/>
    </row>
    <row r="79" spans="2:35" x14ac:dyDescent="0.25">
      <c r="B79" s="579" t="s">
        <v>401</v>
      </c>
      <c r="C79" s="387"/>
      <c r="D79" s="388"/>
      <c r="E79" s="388"/>
      <c r="F79" s="388"/>
      <c r="G79" s="388"/>
      <c r="H79" s="388"/>
      <c r="I79" s="388"/>
      <c r="J79" s="388"/>
      <c r="K79" s="388"/>
      <c r="L79" s="389"/>
      <c r="AH79" s="600" t="str">
        <f t="shared" si="17"/>
        <v/>
      </c>
      <c r="AI79" s="569">
        <f t="shared" ref="AI79" si="38">COUNT(C80:L80)</f>
        <v>0</v>
      </c>
    </row>
    <row r="80" spans="2:35" hidden="1" x14ac:dyDescent="0.25">
      <c r="B80" s="580"/>
      <c r="C80" s="390" t="str">
        <f>IF(C79="x",C48,"")</f>
        <v/>
      </c>
      <c r="D80" s="391" t="str">
        <f t="shared" ref="D80:L80" si="39">IF(D79="x",D48,"")</f>
        <v/>
      </c>
      <c r="E80" s="391" t="str">
        <f t="shared" si="39"/>
        <v/>
      </c>
      <c r="F80" s="391" t="str">
        <f t="shared" si="39"/>
        <v/>
      </c>
      <c r="G80" s="391" t="str">
        <f t="shared" si="39"/>
        <v/>
      </c>
      <c r="H80" s="391" t="str">
        <f t="shared" si="39"/>
        <v/>
      </c>
      <c r="I80" s="391" t="str">
        <f t="shared" si="39"/>
        <v/>
      </c>
      <c r="J80" s="391" t="str">
        <f t="shared" si="39"/>
        <v/>
      </c>
      <c r="K80" s="391" t="str">
        <f t="shared" si="39"/>
        <v/>
      </c>
      <c r="L80" s="392" t="str">
        <f t="shared" si="39"/>
        <v/>
      </c>
      <c r="AH80" s="600"/>
      <c r="AI80" s="569"/>
    </row>
    <row r="81" spans="2:35" x14ac:dyDescent="0.25">
      <c r="B81" s="580" t="s">
        <v>402</v>
      </c>
      <c r="C81" s="393"/>
      <c r="D81" s="394"/>
      <c r="E81" s="394"/>
      <c r="F81" s="394"/>
      <c r="G81" s="394"/>
      <c r="H81" s="394"/>
      <c r="I81" s="394"/>
      <c r="J81" s="394"/>
      <c r="K81" s="394"/>
      <c r="L81" s="395"/>
      <c r="AH81" s="600" t="str">
        <f t="shared" si="17"/>
        <v/>
      </c>
      <c r="AI81" s="569">
        <f t="shared" ref="AI81" si="40">COUNT(C82:L82)</f>
        <v>0</v>
      </c>
    </row>
    <row r="82" spans="2:35" ht="15.75" hidden="1" thickBot="1" x14ac:dyDescent="0.3">
      <c r="B82" s="581"/>
      <c r="C82" s="292" t="str">
        <f>IF(C81="x",C48,"")</f>
        <v/>
      </c>
      <c r="D82" s="293" t="str">
        <f t="shared" ref="D82:L82" si="41">IF(D81="x",D48,"")</f>
        <v/>
      </c>
      <c r="E82" s="293" t="str">
        <f t="shared" si="41"/>
        <v/>
      </c>
      <c r="F82" s="293" t="str">
        <f t="shared" si="41"/>
        <v/>
      </c>
      <c r="G82" s="293" t="str">
        <f t="shared" si="41"/>
        <v/>
      </c>
      <c r="H82" s="293" t="str">
        <f t="shared" si="41"/>
        <v/>
      </c>
      <c r="I82" s="293" t="str">
        <f t="shared" si="41"/>
        <v/>
      </c>
      <c r="J82" s="293" t="str">
        <f t="shared" si="41"/>
        <v/>
      </c>
      <c r="K82" s="293" t="str">
        <f t="shared" si="41"/>
        <v/>
      </c>
      <c r="L82" s="294" t="str">
        <f t="shared" si="41"/>
        <v/>
      </c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326"/>
      <c r="AD82" s="326"/>
      <c r="AE82" s="326"/>
      <c r="AF82" s="326"/>
      <c r="AG82" s="326"/>
      <c r="AH82" s="603"/>
      <c r="AI82" s="571"/>
    </row>
  </sheetData>
  <mergeCells count="51">
    <mergeCell ref="AH81:AH82"/>
    <mergeCell ref="AI81:AI82"/>
    <mergeCell ref="AH75:AH76"/>
    <mergeCell ref="AI75:AI76"/>
    <mergeCell ref="AH77:AH78"/>
    <mergeCell ref="AI77:AI78"/>
    <mergeCell ref="AH79:AH80"/>
    <mergeCell ref="AI79:AI80"/>
    <mergeCell ref="AH69:AH70"/>
    <mergeCell ref="AI69:AI70"/>
    <mergeCell ref="AH71:AH72"/>
    <mergeCell ref="AI71:AI72"/>
    <mergeCell ref="AH73:AH74"/>
    <mergeCell ref="AI73:AI74"/>
    <mergeCell ref="AH63:AH64"/>
    <mergeCell ref="AI63:AI64"/>
    <mergeCell ref="AH65:AH66"/>
    <mergeCell ref="AI65:AI66"/>
    <mergeCell ref="AH67:AH68"/>
    <mergeCell ref="AI67:AI68"/>
    <mergeCell ref="AH57:AH58"/>
    <mergeCell ref="AI57:AI58"/>
    <mergeCell ref="AH59:AH60"/>
    <mergeCell ref="AI59:AI60"/>
    <mergeCell ref="AH61:AH62"/>
    <mergeCell ref="AI61:AI62"/>
    <mergeCell ref="AH51:AH52"/>
    <mergeCell ref="AI51:AI52"/>
    <mergeCell ref="AH53:AH54"/>
    <mergeCell ref="AI53:AI54"/>
    <mergeCell ref="AH55:AH56"/>
    <mergeCell ref="AI55:AI56"/>
    <mergeCell ref="A1:A2"/>
    <mergeCell ref="B51:B52"/>
    <mergeCell ref="C51:L51"/>
    <mergeCell ref="C52:L52"/>
    <mergeCell ref="B53:B54"/>
    <mergeCell ref="B55:B56"/>
    <mergeCell ref="B57:B58"/>
    <mergeCell ref="B59:B60"/>
    <mergeCell ref="B61:B62"/>
    <mergeCell ref="B63:B64"/>
    <mergeCell ref="B75:B76"/>
    <mergeCell ref="B77:B78"/>
    <mergeCell ref="B79:B80"/>
    <mergeCell ref="B81:B82"/>
    <mergeCell ref="B65:B66"/>
    <mergeCell ref="B67:B68"/>
    <mergeCell ref="B69:B70"/>
    <mergeCell ref="B71:B72"/>
    <mergeCell ref="B73:B74"/>
  </mergeCells>
  <pageMargins left="0.7" right="0.7" top="0.75" bottom="0.75" header="0.3" footer="0.3"/>
  <pageSetup paperSize="9" scale="61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</sheetPr>
  <dimension ref="A1:AI46"/>
  <sheetViews>
    <sheetView topLeftCell="A22" workbookViewId="0">
      <selection activeCell="W53" sqref="W53"/>
    </sheetView>
  </sheetViews>
  <sheetFormatPr defaultColWidth="9.140625" defaultRowHeight="15" x14ac:dyDescent="0.25"/>
  <cols>
    <col min="1" max="1" width="41.5703125" style="97" customWidth="1"/>
    <col min="2" max="2" width="18.42578125" style="97" customWidth="1"/>
    <col min="3" max="5" width="3.42578125" style="97" customWidth="1"/>
    <col min="6" max="6" width="4" style="97" customWidth="1"/>
    <col min="7" max="11" width="3.42578125" style="97" customWidth="1"/>
    <col min="12" max="15" width="4.42578125" style="97" customWidth="1"/>
    <col min="16" max="33" width="4.85546875" style="97" customWidth="1"/>
    <col min="34" max="34" width="5.85546875" style="97" customWidth="1"/>
    <col min="35" max="35" width="14.140625" style="97" customWidth="1"/>
    <col min="36" max="16384" width="9.140625" style="97"/>
  </cols>
  <sheetData>
    <row r="1" spans="1:35" x14ac:dyDescent="0.25">
      <c r="A1" s="606" t="s">
        <v>291</v>
      </c>
      <c r="B1" s="3" t="s">
        <v>97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5" x14ac:dyDescent="0.25">
      <c r="A2" s="606"/>
      <c r="B2" s="3" t="s">
        <v>98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</row>
    <row r="3" spans="1:35" x14ac:dyDescent="0.25">
      <c r="A3"/>
      <c r="B3" s="8" t="s">
        <v>118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8" t="s">
        <v>38</v>
      </c>
      <c r="AI3" s="135" t="s">
        <v>257</v>
      </c>
    </row>
    <row r="4" spans="1:35" x14ac:dyDescent="0.25">
      <c r="A4" s="4" t="s">
        <v>1</v>
      </c>
      <c r="B4" s="4" t="s">
        <v>0</v>
      </c>
      <c r="C4" s="131" t="s">
        <v>156</v>
      </c>
      <c r="D4" s="131" t="s">
        <v>157</v>
      </c>
      <c r="E4" s="131" t="s">
        <v>158</v>
      </c>
      <c r="F4" s="131" t="s">
        <v>159</v>
      </c>
      <c r="G4" s="131" t="s">
        <v>160</v>
      </c>
      <c r="H4" s="131" t="s">
        <v>161</v>
      </c>
      <c r="I4" s="131" t="s">
        <v>162</v>
      </c>
      <c r="J4" s="131" t="s">
        <v>163</v>
      </c>
      <c r="K4" s="131" t="s">
        <v>164</v>
      </c>
      <c r="L4" s="131" t="s">
        <v>165</v>
      </c>
      <c r="M4" s="131" t="s">
        <v>166</v>
      </c>
      <c r="N4" s="131" t="s">
        <v>167</v>
      </c>
      <c r="O4" s="131" t="s">
        <v>143</v>
      </c>
      <c r="P4" s="131" t="s">
        <v>83</v>
      </c>
      <c r="Q4" s="131" t="s">
        <v>168</v>
      </c>
      <c r="R4" s="131" t="s">
        <v>168</v>
      </c>
      <c r="S4" s="131" t="s">
        <v>169</v>
      </c>
      <c r="T4" s="131" t="s">
        <v>84</v>
      </c>
      <c r="U4" s="131" t="s">
        <v>85</v>
      </c>
      <c r="V4" s="131" t="s">
        <v>170</v>
      </c>
      <c r="W4" s="131" t="s">
        <v>86</v>
      </c>
      <c r="X4" s="131" t="s">
        <v>87</v>
      </c>
      <c r="Y4" s="131" t="s">
        <v>88</v>
      </c>
      <c r="Z4" s="131" t="s">
        <v>89</v>
      </c>
      <c r="AA4" s="131" t="s">
        <v>90</v>
      </c>
      <c r="AB4" s="131" t="s">
        <v>95</v>
      </c>
      <c r="AC4" s="131" t="s">
        <v>146</v>
      </c>
      <c r="AD4" s="131" t="s">
        <v>91</v>
      </c>
      <c r="AE4" s="131" t="s">
        <v>92</v>
      </c>
      <c r="AF4" s="131" t="s">
        <v>93</v>
      </c>
      <c r="AG4" s="131" t="s">
        <v>94</v>
      </c>
      <c r="AH4" s="131">
        <f>SUM(C3:AG3)</f>
        <v>1</v>
      </c>
      <c r="AI4" s="131">
        <v>0</v>
      </c>
    </row>
    <row r="5" spans="1:35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91">
        <f t="shared" ref="AH5:AH44" si="0">SUM(C5:AG5)</f>
        <v>0</v>
      </c>
      <c r="AI5" s="136">
        <f>AH5*AI$4/AH$4</f>
        <v>0</v>
      </c>
    </row>
    <row r="6" spans="1:35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91">
        <f t="shared" si="0"/>
        <v>0</v>
      </c>
      <c r="AI6" s="136">
        <f t="shared" ref="AI6:AI44" si="1">AH6*AI$4/AH$4</f>
        <v>0</v>
      </c>
    </row>
    <row r="7" spans="1:35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91">
        <f t="shared" si="0"/>
        <v>0</v>
      </c>
      <c r="AI7" s="136">
        <f t="shared" si="1"/>
        <v>0</v>
      </c>
    </row>
    <row r="8" spans="1:35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91">
        <f t="shared" si="0"/>
        <v>0</v>
      </c>
      <c r="AI8" s="136">
        <f t="shared" si="1"/>
        <v>0</v>
      </c>
    </row>
    <row r="9" spans="1:35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91">
        <f t="shared" si="0"/>
        <v>0</v>
      </c>
      <c r="AI9" s="136">
        <f t="shared" si="1"/>
        <v>0</v>
      </c>
    </row>
    <row r="10" spans="1:35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91">
        <f t="shared" si="0"/>
        <v>0</v>
      </c>
      <c r="AI10" s="136">
        <f t="shared" si="1"/>
        <v>0</v>
      </c>
    </row>
    <row r="11" spans="1:35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91">
        <f t="shared" si="0"/>
        <v>0</v>
      </c>
      <c r="AI11" s="136">
        <f t="shared" si="1"/>
        <v>0</v>
      </c>
    </row>
    <row r="12" spans="1:35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91">
        <f t="shared" si="0"/>
        <v>0</v>
      </c>
      <c r="AI12" s="136">
        <f t="shared" si="1"/>
        <v>0</v>
      </c>
    </row>
    <row r="13" spans="1:35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91">
        <f t="shared" si="0"/>
        <v>0</v>
      </c>
      <c r="AI13" s="136">
        <f t="shared" si="1"/>
        <v>0</v>
      </c>
    </row>
    <row r="14" spans="1:35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91">
        <f t="shared" si="0"/>
        <v>0</v>
      </c>
      <c r="AI14" s="136">
        <f t="shared" si="1"/>
        <v>0</v>
      </c>
    </row>
    <row r="15" spans="1:35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91">
        <f t="shared" si="0"/>
        <v>0</v>
      </c>
      <c r="AI15" s="136">
        <f t="shared" si="1"/>
        <v>0</v>
      </c>
    </row>
    <row r="16" spans="1:35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91">
        <f t="shared" si="0"/>
        <v>0</v>
      </c>
      <c r="AI16" s="136">
        <f t="shared" si="1"/>
        <v>0</v>
      </c>
    </row>
    <row r="17" spans="1:35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91">
        <f t="shared" si="0"/>
        <v>0</v>
      </c>
      <c r="AI17" s="136">
        <f t="shared" si="1"/>
        <v>0</v>
      </c>
    </row>
    <row r="18" spans="1:35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91">
        <f t="shared" si="0"/>
        <v>0</v>
      </c>
      <c r="AI18" s="136">
        <f t="shared" si="1"/>
        <v>0</v>
      </c>
    </row>
    <row r="19" spans="1:35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91">
        <f t="shared" si="0"/>
        <v>0</v>
      </c>
      <c r="AI19" s="136">
        <f t="shared" si="1"/>
        <v>0</v>
      </c>
    </row>
    <row r="20" spans="1:35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91">
        <f t="shared" si="0"/>
        <v>0</v>
      </c>
      <c r="AI20" s="136">
        <f t="shared" si="1"/>
        <v>0</v>
      </c>
    </row>
    <row r="21" spans="1:35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91">
        <f t="shared" si="0"/>
        <v>0</v>
      </c>
      <c r="AI21" s="136">
        <f t="shared" si="1"/>
        <v>0</v>
      </c>
    </row>
    <row r="22" spans="1:35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91">
        <f t="shared" si="0"/>
        <v>0</v>
      </c>
      <c r="AI22" s="136">
        <f t="shared" si="1"/>
        <v>0</v>
      </c>
    </row>
    <row r="23" spans="1:35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91">
        <f t="shared" si="0"/>
        <v>0</v>
      </c>
      <c r="AI23" s="136">
        <f t="shared" si="1"/>
        <v>0</v>
      </c>
    </row>
    <row r="24" spans="1:35" ht="14.25" customHeight="1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91">
        <f t="shared" si="0"/>
        <v>0</v>
      </c>
      <c r="AI24" s="136">
        <f t="shared" si="1"/>
        <v>0</v>
      </c>
    </row>
    <row r="25" spans="1:35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91">
        <f t="shared" si="0"/>
        <v>0</v>
      </c>
      <c r="AI25" s="136">
        <f t="shared" si="1"/>
        <v>0</v>
      </c>
    </row>
    <row r="26" spans="1:35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91">
        <f t="shared" si="0"/>
        <v>0</v>
      </c>
      <c r="AI26" s="136">
        <f t="shared" si="1"/>
        <v>0</v>
      </c>
    </row>
    <row r="27" spans="1:35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91">
        <f t="shared" si="0"/>
        <v>0</v>
      </c>
      <c r="AI27" s="136">
        <f t="shared" si="1"/>
        <v>0</v>
      </c>
    </row>
    <row r="28" spans="1:35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91">
        <f t="shared" si="0"/>
        <v>0</v>
      </c>
      <c r="AI28" s="136">
        <f t="shared" si="1"/>
        <v>0</v>
      </c>
    </row>
    <row r="29" spans="1:35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91">
        <f t="shared" si="0"/>
        <v>0</v>
      </c>
      <c r="AI29" s="136">
        <f t="shared" si="1"/>
        <v>0</v>
      </c>
    </row>
    <row r="30" spans="1:35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91">
        <f t="shared" si="0"/>
        <v>0</v>
      </c>
      <c r="AI30" s="136">
        <f t="shared" si="1"/>
        <v>0</v>
      </c>
    </row>
    <row r="31" spans="1:35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91">
        <f t="shared" si="0"/>
        <v>0</v>
      </c>
      <c r="AI31" s="136">
        <f t="shared" si="1"/>
        <v>0</v>
      </c>
    </row>
    <row r="32" spans="1:35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91">
        <f t="shared" si="0"/>
        <v>0</v>
      </c>
      <c r="AI32" s="136">
        <f t="shared" si="1"/>
        <v>0</v>
      </c>
    </row>
    <row r="33" spans="1:35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91">
        <f t="shared" si="0"/>
        <v>0</v>
      </c>
      <c r="AI33" s="136">
        <f t="shared" si="1"/>
        <v>0</v>
      </c>
    </row>
    <row r="34" spans="1:35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91">
        <f t="shared" si="0"/>
        <v>0</v>
      </c>
      <c r="AI34" s="136">
        <f t="shared" si="1"/>
        <v>0</v>
      </c>
    </row>
    <row r="35" spans="1:35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91">
        <f t="shared" si="0"/>
        <v>0</v>
      </c>
      <c r="AI35" s="136">
        <f t="shared" si="1"/>
        <v>0</v>
      </c>
    </row>
    <row r="36" spans="1:35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91">
        <f t="shared" si="0"/>
        <v>0</v>
      </c>
      <c r="AI36" s="136">
        <f t="shared" si="1"/>
        <v>0</v>
      </c>
    </row>
    <row r="37" spans="1:35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91">
        <f t="shared" si="0"/>
        <v>0</v>
      </c>
      <c r="AI37" s="136">
        <f t="shared" si="1"/>
        <v>0</v>
      </c>
    </row>
    <row r="38" spans="1:35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91">
        <f t="shared" si="0"/>
        <v>0</v>
      </c>
      <c r="AI38" s="136">
        <f t="shared" si="1"/>
        <v>0</v>
      </c>
    </row>
    <row r="39" spans="1:35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91">
        <f t="shared" si="0"/>
        <v>0</v>
      </c>
      <c r="AI39" s="136">
        <f t="shared" si="1"/>
        <v>0</v>
      </c>
    </row>
    <row r="40" spans="1:35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91">
        <f t="shared" si="0"/>
        <v>0</v>
      </c>
      <c r="AI40" s="136">
        <f t="shared" si="1"/>
        <v>0</v>
      </c>
    </row>
    <row r="41" spans="1:35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91">
        <f t="shared" si="0"/>
        <v>0</v>
      </c>
      <c r="AI41" s="136">
        <f t="shared" si="1"/>
        <v>0</v>
      </c>
    </row>
    <row r="42" spans="1:35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91">
        <f t="shared" si="0"/>
        <v>0</v>
      </c>
      <c r="AI42" s="136">
        <f t="shared" si="1"/>
        <v>0</v>
      </c>
    </row>
    <row r="43" spans="1:35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91">
        <f t="shared" si="0"/>
        <v>0</v>
      </c>
      <c r="AI43" s="136">
        <f t="shared" si="1"/>
        <v>0</v>
      </c>
    </row>
    <row r="44" spans="1:35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91">
        <f t="shared" si="0"/>
        <v>0</v>
      </c>
      <c r="AI44" s="136">
        <f t="shared" si="1"/>
        <v>0</v>
      </c>
    </row>
    <row r="45" spans="1:35" x14ac:dyDescent="0.25">
      <c r="A45"/>
      <c r="B45" s="3" t="s">
        <v>37</v>
      </c>
      <c r="C45" s="137" t="str">
        <f>IF(COUNTBLANK(C5:C44)=40," ",AVERAGE(C5:C44))</f>
        <v xml:space="preserve"> </v>
      </c>
      <c r="D45" s="137" t="str">
        <f t="shared" ref="D45:AG45" si="2">IF(COUNTBLANK(D5:D44)=40," ",AVERAGE(D5:D44))</f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si="2"/>
        <v xml:space="preserve"> </v>
      </c>
      <c r="I45" s="137"/>
      <c r="J45" s="137"/>
      <c r="K45" s="137"/>
      <c r="L45" s="137"/>
      <c r="M45" s="137"/>
      <c r="N45" s="137" t="str">
        <f t="shared" ref="N45" si="3">IF(COUNTBLANK(N5:N44)=40," ",AVERAGE(N5:N44))</f>
        <v xml:space="preserve"> </v>
      </c>
      <c r="O45" s="137" t="str">
        <f t="shared" si="2"/>
        <v xml:space="preserve"> </v>
      </c>
      <c r="P45" s="137"/>
      <c r="Q45" s="137"/>
      <c r="R45" s="137"/>
      <c r="S45" s="137"/>
      <c r="T45" s="137"/>
      <c r="U45" s="137"/>
      <c r="V45" s="137"/>
      <c r="W45" s="137" t="str">
        <f t="shared" si="2"/>
        <v xml:space="preserve"> </v>
      </c>
      <c r="X45" s="137" t="str">
        <f t="shared" si="2"/>
        <v xml:space="preserve"> </v>
      </c>
      <c r="Y45" s="137" t="str">
        <f t="shared" si="2"/>
        <v xml:space="preserve"> </v>
      </c>
      <c r="Z45" s="137" t="str">
        <f t="shared" si="2"/>
        <v xml:space="preserve"> </v>
      </c>
      <c r="AA45" s="137" t="str">
        <f t="shared" si="2"/>
        <v xml:space="preserve"> </v>
      </c>
      <c r="AB45" s="137" t="str">
        <f t="shared" si="2"/>
        <v xml:space="preserve"> </v>
      </c>
      <c r="AC45" s="137" t="str">
        <f t="shared" si="2"/>
        <v xml:space="preserve"> </v>
      </c>
      <c r="AD45" s="137" t="str">
        <f t="shared" si="2"/>
        <v xml:space="preserve"> </v>
      </c>
      <c r="AE45" s="137" t="str">
        <f t="shared" si="2"/>
        <v xml:space="preserve"> </v>
      </c>
      <c r="AF45" s="137" t="str">
        <f t="shared" si="2"/>
        <v xml:space="preserve"> </v>
      </c>
      <c r="AG45" s="137" t="str">
        <f t="shared" si="2"/>
        <v xml:space="preserve"> </v>
      </c>
      <c r="AH45" s="137">
        <f>IF(COUNTBLANK(AH5:AH44)=40," ",AVERAGE(AH5:AH44))</f>
        <v>0</v>
      </c>
      <c r="AI45" s="137">
        <f>IF(COUNTBLANK(AI5:AI44)=40," ",AVERAGE(AI5:AI44))</f>
        <v>0</v>
      </c>
    </row>
    <row r="46" spans="1:35" x14ac:dyDescent="0.25">
      <c r="A46"/>
      <c r="B46" s="3" t="s">
        <v>42</v>
      </c>
      <c r="C46" s="5" t="str">
        <f t="shared" ref="C46:AG46" si="4">IF(C45="","",IF(ISERROR(ROUND(C45*10/C3,1))," ",(ROUND(C45*10/C3,1))))</f>
        <v xml:space="preserve"> </v>
      </c>
      <c r="D46" s="5" t="str">
        <f t="shared" si="4"/>
        <v xml:space="preserve"> </v>
      </c>
      <c r="E46" s="5" t="str">
        <f t="shared" si="4"/>
        <v xml:space="preserve"> </v>
      </c>
      <c r="F46" s="5" t="str">
        <f t="shared" si="4"/>
        <v xml:space="preserve"> </v>
      </c>
      <c r="G46" s="5" t="str">
        <f t="shared" si="4"/>
        <v xml:space="preserve"> </v>
      </c>
      <c r="H46" s="5" t="str">
        <f t="shared" si="4"/>
        <v xml:space="preserve"> </v>
      </c>
      <c r="I46" s="5"/>
      <c r="J46" s="5"/>
      <c r="K46" s="5"/>
      <c r="L46" s="5"/>
      <c r="M46" s="5"/>
      <c r="N46" s="5" t="str">
        <f t="shared" ref="N46" si="5">IF(N45="","",IF(ISERROR(ROUND(N45*10/N3,1))," ",(ROUND(N45*10/N3,1))))</f>
        <v xml:space="preserve"> </v>
      </c>
      <c r="O46" s="5" t="str">
        <f t="shared" si="4"/>
        <v xml:space="preserve"> </v>
      </c>
      <c r="P46" s="5"/>
      <c r="Q46" s="5"/>
      <c r="R46" s="5"/>
      <c r="S46" s="5"/>
      <c r="T46" s="5"/>
      <c r="U46" s="5"/>
      <c r="V46" s="5"/>
      <c r="W46" s="5" t="str">
        <f t="shared" si="4"/>
        <v xml:space="preserve"> </v>
      </c>
      <c r="X46" s="5" t="str">
        <f t="shared" si="4"/>
        <v xml:space="preserve"> </v>
      </c>
      <c r="Y46" s="5" t="str">
        <f t="shared" si="4"/>
        <v xml:space="preserve"> </v>
      </c>
      <c r="Z46" s="5" t="str">
        <f t="shared" si="4"/>
        <v xml:space="preserve"> </v>
      </c>
      <c r="AA46" s="5" t="str">
        <f t="shared" si="4"/>
        <v xml:space="preserve"> </v>
      </c>
      <c r="AB46" s="5" t="str">
        <f t="shared" si="4"/>
        <v xml:space="preserve"> </v>
      </c>
      <c r="AC46" s="5" t="str">
        <f t="shared" si="4"/>
        <v xml:space="preserve"> </v>
      </c>
      <c r="AD46" s="5" t="str">
        <f t="shared" si="4"/>
        <v xml:space="preserve"> </v>
      </c>
      <c r="AE46" s="5" t="str">
        <f t="shared" si="4"/>
        <v xml:space="preserve"> </v>
      </c>
      <c r="AF46" s="5" t="str">
        <f t="shared" si="4"/>
        <v xml:space="preserve"> </v>
      </c>
      <c r="AG46" s="5" t="str">
        <f t="shared" si="4"/>
        <v xml:space="preserve"> </v>
      </c>
      <c r="AH46" s="5">
        <f>IF(AH45="","",IF(ISERROR(ROUND(AH45*10/AH4,1))," ",(ROUND(AH45*10/AH4,1))))</f>
        <v>0</v>
      </c>
      <c r="AI46" s="5" t="str">
        <f>IF(AI45="","",IF(ISERROR(ROUND(AI45*10/AI4,1))," ",(ROUND(AI45*10/AI4,1))))</f>
        <v xml:space="preserve"> </v>
      </c>
    </row>
  </sheetData>
  <mergeCells count="1">
    <mergeCell ref="A1:A2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rgb="FFFF0000"/>
    <pageSetUpPr fitToPage="1"/>
  </sheetPr>
  <dimension ref="B1:AD74"/>
  <sheetViews>
    <sheetView zoomScale="40" zoomScaleNormal="40" workbookViewId="0">
      <selection activeCell="AC4" sqref="AC4"/>
    </sheetView>
  </sheetViews>
  <sheetFormatPr defaultColWidth="9.140625" defaultRowHeight="16.5" x14ac:dyDescent="0.3"/>
  <cols>
    <col min="1" max="1" width="9.140625" style="195"/>
    <col min="2" max="2" width="71.28515625" style="195" customWidth="1"/>
    <col min="3" max="3" width="38.5703125" style="195" customWidth="1"/>
    <col min="4" max="4" width="32.140625" style="195" customWidth="1"/>
    <col min="5" max="5" width="27.28515625" style="195" customWidth="1"/>
    <col min="6" max="6" width="22.140625" style="195" customWidth="1"/>
    <col min="7" max="7" width="35.5703125" style="195" customWidth="1"/>
    <col min="8" max="8" width="21.7109375" style="195" customWidth="1"/>
    <col min="9" max="9" width="35.5703125" style="195" customWidth="1"/>
    <col min="10" max="10" width="31.140625" style="195" customWidth="1"/>
    <col min="11" max="11" width="31" style="195" customWidth="1"/>
    <col min="12" max="12" width="9.7109375" style="196" customWidth="1"/>
    <col min="13" max="27" width="3.42578125" style="196" hidden="1" customWidth="1"/>
    <col min="28" max="28" width="3.42578125" style="195" hidden="1" customWidth="1"/>
    <col min="29" max="16384" width="9.140625" style="195"/>
  </cols>
  <sheetData>
    <row r="1" spans="2:30" ht="138" customHeight="1" x14ac:dyDescent="0.45">
      <c r="B1" s="241">
        <f ca="1">TODAY()</f>
        <v>45923</v>
      </c>
      <c r="C1" s="205"/>
      <c r="D1" s="205"/>
      <c r="E1" s="205"/>
      <c r="F1" s="205"/>
      <c r="G1" s="205"/>
      <c r="H1" s="205"/>
      <c r="I1" s="217"/>
      <c r="J1" s="607"/>
      <c r="K1" s="607"/>
      <c r="L1" s="205"/>
      <c r="M1" s="205"/>
      <c r="N1" s="205"/>
      <c r="O1" s="205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05"/>
      <c r="AC1" s="205"/>
      <c r="AD1" s="205"/>
    </row>
    <row r="2" spans="2:30" ht="92.25" x14ac:dyDescent="1.35">
      <c r="B2" s="616" t="s">
        <v>284</v>
      </c>
      <c r="C2" s="616"/>
      <c r="D2" s="616"/>
      <c r="E2" s="616"/>
      <c r="F2" s="616"/>
      <c r="G2" s="616"/>
      <c r="H2" s="616"/>
      <c r="I2" s="616"/>
      <c r="J2" s="616"/>
      <c r="K2" s="616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05"/>
      <c r="AC2" s="205"/>
      <c r="AD2" s="205"/>
    </row>
    <row r="3" spans="2:30" ht="33.75" x14ac:dyDescent="0.5">
      <c r="B3" s="617" t="s">
        <v>286</v>
      </c>
      <c r="C3" s="617"/>
      <c r="D3" s="617"/>
      <c r="E3" s="617"/>
      <c r="F3" s="617"/>
      <c r="G3" s="617"/>
      <c r="H3" s="617"/>
      <c r="I3" s="617"/>
      <c r="J3" s="617"/>
      <c r="K3" s="617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05"/>
      <c r="AC3" s="205"/>
      <c r="AD3" s="205"/>
    </row>
    <row r="4" spans="2:30" ht="33.75" x14ac:dyDescent="0.5">
      <c r="B4" s="617" t="str">
        <f>_xlfn.CONCAT('Course Information'!B3,": ",'Course Information'!C3)</f>
        <v xml:space="preserve">Semester / Academic Year: </v>
      </c>
      <c r="C4" s="617"/>
      <c r="D4" s="617"/>
      <c r="E4" s="617"/>
      <c r="F4" s="617"/>
      <c r="G4" s="617"/>
      <c r="H4" s="617"/>
      <c r="I4" s="617"/>
      <c r="J4" s="617"/>
      <c r="K4" s="617"/>
      <c r="L4" s="205"/>
      <c r="M4" s="205"/>
      <c r="N4" s="205"/>
      <c r="O4" s="205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05"/>
      <c r="AC4" s="205"/>
      <c r="AD4" s="205"/>
    </row>
    <row r="5" spans="2:30" ht="33.75" x14ac:dyDescent="0.5">
      <c r="B5" s="207" t="s">
        <v>283</v>
      </c>
      <c r="C5" s="612">
        <f>'Course Information'!C1</f>
        <v>0</v>
      </c>
      <c r="D5" s="612"/>
      <c r="E5" s="612"/>
      <c r="F5" s="208"/>
      <c r="G5" s="207"/>
      <c r="H5" s="207"/>
      <c r="I5" s="608" t="s">
        <v>293</v>
      </c>
      <c r="J5" s="608"/>
      <c r="K5" s="209">
        <f>'Course Information'!C5</f>
        <v>0</v>
      </c>
      <c r="L5" s="218"/>
      <c r="M5" s="218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05"/>
      <c r="AC5" s="205"/>
      <c r="AD5" s="205"/>
    </row>
    <row r="6" spans="2:30" ht="33.75" x14ac:dyDescent="0.5">
      <c r="B6" s="207" t="s">
        <v>260</v>
      </c>
      <c r="C6" s="209">
        <f>'Course Information'!C2</f>
        <v>0</v>
      </c>
      <c r="D6" s="209"/>
      <c r="E6" s="209"/>
      <c r="F6" s="208"/>
      <c r="G6" s="208"/>
      <c r="H6" s="208"/>
      <c r="I6" s="208"/>
      <c r="J6" s="207"/>
      <c r="K6" s="209"/>
      <c r="L6" s="219"/>
      <c r="M6" s="219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05"/>
      <c r="AC6" s="205"/>
      <c r="AD6" s="205"/>
    </row>
    <row r="7" spans="2:30" ht="34.5" customHeight="1" thickBot="1" x14ac:dyDescent="0.35"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05"/>
      <c r="AC7" s="205"/>
      <c r="AD7" s="205"/>
    </row>
    <row r="8" spans="2:30" ht="43.5" customHeight="1" thickBot="1" x14ac:dyDescent="0.45">
      <c r="B8" s="211"/>
      <c r="C8" s="211"/>
      <c r="D8" s="220" t="s">
        <v>339</v>
      </c>
      <c r="E8" s="221" t="s">
        <v>103</v>
      </c>
      <c r="F8" s="221" t="s">
        <v>104</v>
      </c>
      <c r="G8" s="221" t="s">
        <v>150</v>
      </c>
      <c r="H8" s="221" t="s">
        <v>25</v>
      </c>
      <c r="I8" s="221" t="s">
        <v>218</v>
      </c>
      <c r="J8" s="221" t="s">
        <v>102</v>
      </c>
      <c r="K8" s="222" t="s">
        <v>151</v>
      </c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05"/>
      <c r="AC8" s="205"/>
      <c r="AD8" s="205"/>
    </row>
    <row r="9" spans="2:30" ht="30" customHeight="1" thickBot="1" x14ac:dyDescent="0.35">
      <c r="B9" s="212" t="s">
        <v>1</v>
      </c>
      <c r="C9" s="213" t="s">
        <v>0</v>
      </c>
      <c r="D9" s="223">
        <f>SUM('Laboratory Final'!N4,Project!N4,Homework!X4,Quizzes!S4,Laboratory!R4)</f>
        <v>0</v>
      </c>
      <c r="E9" s="224">
        <f>'Midterm 1'!AH5</f>
        <v>0</v>
      </c>
      <c r="F9" s="224">
        <f>'Midterm 2'!AJ5</f>
        <v>0</v>
      </c>
      <c r="G9" s="224">
        <f>SUM(D9,E9,F9)</f>
        <v>0</v>
      </c>
      <c r="H9" s="224">
        <f>'Final Exam'!AI4</f>
        <v>0</v>
      </c>
      <c r="I9" s="224">
        <f>'Incomplete Final'!AI4</f>
        <v>0</v>
      </c>
      <c r="J9" s="224">
        <f>SUM(G9,H9)</f>
        <v>0</v>
      </c>
      <c r="K9" s="225" t="s">
        <v>152</v>
      </c>
      <c r="L9" s="210"/>
      <c r="M9" s="210" t="s">
        <v>335</v>
      </c>
      <c r="N9" s="214" t="s">
        <v>136</v>
      </c>
      <c r="O9" s="214" t="s">
        <v>336</v>
      </c>
      <c r="P9" s="214" t="s">
        <v>135</v>
      </c>
      <c r="Q9" s="214" t="s">
        <v>138</v>
      </c>
      <c r="R9" s="214" t="s">
        <v>337</v>
      </c>
      <c r="S9" s="214" t="s">
        <v>137</v>
      </c>
      <c r="T9" s="214" t="s">
        <v>139</v>
      </c>
      <c r="U9" s="214" t="s">
        <v>338</v>
      </c>
      <c r="V9" s="214" t="s">
        <v>263</v>
      </c>
      <c r="W9" s="214" t="s">
        <v>148</v>
      </c>
      <c r="X9" s="214" t="s">
        <v>154</v>
      </c>
      <c r="Y9" s="210"/>
      <c r="Z9" s="210"/>
      <c r="AA9" s="210"/>
      <c r="AB9" s="205"/>
      <c r="AC9" s="205"/>
      <c r="AD9" s="205"/>
    </row>
    <row r="10" spans="2:30" ht="30" customHeight="1" thickBot="1" x14ac:dyDescent="0.35">
      <c r="B10" s="229">
        <f>'Students Names and ID'!B2</f>
        <v>0</v>
      </c>
      <c r="C10" s="230">
        <f>'Students Names and ID'!C2</f>
        <v>0</v>
      </c>
      <c r="D10" s="261">
        <f>SUM(Project!N5,Homework!X5,Quizzes!S5,Laboratory!R5)</f>
        <v>0</v>
      </c>
      <c r="E10" s="262">
        <f>'Midterm 1'!AH6</f>
        <v>0</v>
      </c>
      <c r="F10" s="262">
        <f>'Midterm 2'!AJ6</f>
        <v>0</v>
      </c>
      <c r="G10" s="262">
        <f>SUM(D10,E10,F10)</f>
        <v>0</v>
      </c>
      <c r="H10" s="262">
        <f>'Final Exam'!AI5</f>
        <v>0</v>
      </c>
      <c r="I10" s="262">
        <f>'Incomplete Final'!AI5</f>
        <v>0</v>
      </c>
      <c r="J10" s="233">
        <f t="shared" ref="J10:J49" si="0">SUM(G10:I10)</f>
        <v>0</v>
      </c>
      <c r="K10" s="230" t="str">
        <f>LOOKUP(J10,C$56:C$67, B$56:B$67)</f>
        <v>F</v>
      </c>
      <c r="L10" s="215"/>
      <c r="M10" s="215" t="str">
        <f>IF(AND(J10&gt;=94.5,J10&lt;=100),1,"")</f>
        <v/>
      </c>
      <c r="N10" s="214" t="str">
        <f>IF(AND(J10&gt;=89.5,J10&lt;94.5),1,"")</f>
        <v/>
      </c>
      <c r="O10" s="214" t="str">
        <f>IF(AND(J10&gt;=86.5,J10&lt;89.5),1,"")</f>
        <v/>
      </c>
      <c r="P10" s="214" t="str">
        <f>IF(AND(J10&gt;=83.5,J10&lt;86.5),1,"")</f>
        <v/>
      </c>
      <c r="Q10" s="214" t="str">
        <f>IF(AND(J10&gt;=79.5,J10&lt;83.5),1,"")</f>
        <v/>
      </c>
      <c r="R10" s="214" t="str">
        <f>IF(AND(J10&gt;=76.5,J10&lt;79.5),1,"")</f>
        <v/>
      </c>
      <c r="S10" s="214" t="str">
        <f>IF(AND(J10&gt;=73.5,J10&lt;76.5),1,"")</f>
        <v/>
      </c>
      <c r="T10" s="214" t="str">
        <f>IF(AND(J10&gt;=69.5,J10&lt;73.5),1,"")</f>
        <v/>
      </c>
      <c r="U10" s="214" t="str">
        <f>IF(AND(J10&gt;=66.5,J10&lt;69.5),1,"")</f>
        <v/>
      </c>
      <c r="V10" s="214" t="str">
        <f>IF(AND(J10&gt;=62.5,J10&lt;66.5),1,"")</f>
        <v/>
      </c>
      <c r="W10" s="214" t="str">
        <f>IF(AND(J10&gt;=59.5,J10&lt;62.5),1,"")</f>
        <v/>
      </c>
      <c r="X10" s="214">
        <f>IF(ISBLANK(J10),0,IF(J10&lt;59.5,1,0))</f>
        <v>1</v>
      </c>
      <c r="Y10" s="210"/>
      <c r="Z10" s="210"/>
      <c r="AA10" s="210"/>
      <c r="AB10" s="205"/>
      <c r="AC10" s="205"/>
      <c r="AD10" s="205"/>
    </row>
    <row r="11" spans="2:30" ht="30" customHeight="1" thickBot="1" x14ac:dyDescent="0.35">
      <c r="B11" s="231">
        <f>'Students Names and ID'!B3</f>
        <v>0</v>
      </c>
      <c r="C11" s="232">
        <f>'Students Names and ID'!C3</f>
        <v>0</v>
      </c>
      <c r="D11" s="263">
        <f>SUM(Project!N6,Homework!X6,Quizzes!S6,Laboratory!R6)</f>
        <v>0</v>
      </c>
      <c r="E11" s="264">
        <f>'Midterm 1'!AH7</f>
        <v>0</v>
      </c>
      <c r="F11" s="264">
        <f>'Midterm 2'!AJ7</f>
        <v>0</v>
      </c>
      <c r="G11" s="264">
        <f t="shared" ref="G11:G49" si="1">SUM(D11,E11,F11)</f>
        <v>0</v>
      </c>
      <c r="H11" s="264">
        <f>'Final Exam'!AI6</f>
        <v>0</v>
      </c>
      <c r="I11" s="264">
        <f>'Incomplete Final'!AI6</f>
        <v>0</v>
      </c>
      <c r="J11" s="233">
        <f t="shared" si="0"/>
        <v>0</v>
      </c>
      <c r="K11" s="230" t="str">
        <f t="shared" ref="K11:K49" si="2">LOOKUP(J11,C$56:C$67, B$56:B$67)</f>
        <v>F</v>
      </c>
      <c r="L11" s="215"/>
      <c r="M11" s="215" t="str">
        <f t="shared" ref="M11:M49" si="3">IF(AND(J11&gt;=94.5,J11&lt;=100),1,"")</f>
        <v/>
      </c>
      <c r="N11" s="214" t="str">
        <f t="shared" ref="N11:N49" si="4">IF(AND(J11&gt;=89.5,J11&lt;94.5),1,"")</f>
        <v/>
      </c>
      <c r="O11" s="214" t="str">
        <f t="shared" ref="O11:O49" si="5">IF(AND(J11&gt;=86.5,J11&lt;89.5),1,"")</f>
        <v/>
      </c>
      <c r="P11" s="214" t="str">
        <f t="shared" ref="P11:P49" si="6">IF(AND(J11&gt;=83.5,J11&lt;86.5),1,"")</f>
        <v/>
      </c>
      <c r="Q11" s="214" t="str">
        <f t="shared" ref="Q11:Q49" si="7">IF(AND(J11&gt;=79.5,J11&lt;83.5),1,"")</f>
        <v/>
      </c>
      <c r="R11" s="214" t="str">
        <f t="shared" ref="R11:R49" si="8">IF(AND(J11&gt;=76.5,J11&lt;79.5),1,"")</f>
        <v/>
      </c>
      <c r="S11" s="214" t="str">
        <f t="shared" ref="S11:S49" si="9">IF(AND(J11&gt;=73.5,J11&lt;76.5),1,"")</f>
        <v/>
      </c>
      <c r="T11" s="214" t="str">
        <f t="shared" ref="T11:T49" si="10">IF(AND(J11&gt;=69.5,J11&lt;73.5),1,"")</f>
        <v/>
      </c>
      <c r="U11" s="214" t="str">
        <f t="shared" ref="U11:U49" si="11">IF(AND(J11&gt;=66.5,J11&lt;69.5),1,"")</f>
        <v/>
      </c>
      <c r="V11" s="214" t="str">
        <f t="shared" ref="V11:V49" si="12">IF(AND(J11&gt;=62.5,J11&lt;66.5),1,"")</f>
        <v/>
      </c>
      <c r="W11" s="214" t="str">
        <f t="shared" ref="W11:W49" si="13">IF(AND(J11&gt;=59.5,J11&lt;62.5),1,"")</f>
        <v/>
      </c>
      <c r="X11" s="214">
        <f t="shared" ref="X11:X49" si="14">IF(ISBLANK(J11),0,IF(J11&lt;59.5,1,0))</f>
        <v>1</v>
      </c>
      <c r="Y11" s="210"/>
      <c r="Z11" s="210"/>
      <c r="AA11" s="210"/>
      <c r="AB11" s="205"/>
      <c r="AC11" s="205"/>
      <c r="AD11" s="205"/>
    </row>
    <row r="12" spans="2:30" ht="30" customHeight="1" thickBot="1" x14ac:dyDescent="0.35">
      <c r="B12" s="231">
        <f>'Students Names and ID'!B4</f>
        <v>0</v>
      </c>
      <c r="C12" s="232">
        <f>'Students Names and ID'!C4</f>
        <v>0</v>
      </c>
      <c r="D12" s="263">
        <f>SUM(Project!N7,Homework!X7,Quizzes!S7,Laboratory!R7)</f>
        <v>0</v>
      </c>
      <c r="E12" s="264">
        <f>'Midterm 1'!AH8</f>
        <v>0</v>
      </c>
      <c r="F12" s="264">
        <f>'Midterm 2'!AJ8</f>
        <v>0</v>
      </c>
      <c r="G12" s="264">
        <f t="shared" si="1"/>
        <v>0</v>
      </c>
      <c r="H12" s="264">
        <f>'Final Exam'!AI7</f>
        <v>0</v>
      </c>
      <c r="I12" s="264">
        <f>'Incomplete Final'!AI7</f>
        <v>0</v>
      </c>
      <c r="J12" s="233">
        <f t="shared" si="0"/>
        <v>0</v>
      </c>
      <c r="K12" s="230" t="str">
        <f t="shared" si="2"/>
        <v>F</v>
      </c>
      <c r="L12" s="215"/>
      <c r="M12" s="215" t="str">
        <f t="shared" si="3"/>
        <v/>
      </c>
      <c r="N12" s="214" t="str">
        <f t="shared" si="4"/>
        <v/>
      </c>
      <c r="O12" s="214" t="str">
        <f t="shared" si="5"/>
        <v/>
      </c>
      <c r="P12" s="214" t="str">
        <f t="shared" si="6"/>
        <v/>
      </c>
      <c r="Q12" s="214" t="str">
        <f t="shared" si="7"/>
        <v/>
      </c>
      <c r="R12" s="214" t="str">
        <f t="shared" si="8"/>
        <v/>
      </c>
      <c r="S12" s="214" t="str">
        <f t="shared" si="9"/>
        <v/>
      </c>
      <c r="T12" s="214" t="str">
        <f t="shared" si="10"/>
        <v/>
      </c>
      <c r="U12" s="214" t="str">
        <f t="shared" si="11"/>
        <v/>
      </c>
      <c r="V12" s="214" t="str">
        <f t="shared" si="12"/>
        <v/>
      </c>
      <c r="W12" s="214" t="str">
        <f t="shared" si="13"/>
        <v/>
      </c>
      <c r="X12" s="214">
        <f t="shared" si="14"/>
        <v>1</v>
      </c>
      <c r="Y12" s="210"/>
      <c r="Z12" s="210"/>
      <c r="AA12" s="210"/>
      <c r="AB12" s="205"/>
      <c r="AC12" s="205"/>
      <c r="AD12" s="205"/>
    </row>
    <row r="13" spans="2:30" ht="30" customHeight="1" thickBot="1" x14ac:dyDescent="0.35">
      <c r="B13" s="231">
        <f>'Students Names and ID'!B5</f>
        <v>0</v>
      </c>
      <c r="C13" s="232">
        <f>'Students Names and ID'!C5</f>
        <v>0</v>
      </c>
      <c r="D13" s="263">
        <f>SUM(Project!N8,Homework!X8,Quizzes!S8,Laboratory!R8)</f>
        <v>0</v>
      </c>
      <c r="E13" s="264">
        <f>'Midterm 1'!AH9</f>
        <v>0</v>
      </c>
      <c r="F13" s="264">
        <f>'Midterm 2'!AJ9</f>
        <v>0</v>
      </c>
      <c r="G13" s="264">
        <f t="shared" si="1"/>
        <v>0</v>
      </c>
      <c r="H13" s="264">
        <f>'Final Exam'!AI8</f>
        <v>0</v>
      </c>
      <c r="I13" s="264">
        <f>'Incomplete Final'!AI8</f>
        <v>0</v>
      </c>
      <c r="J13" s="233">
        <f t="shared" si="0"/>
        <v>0</v>
      </c>
      <c r="K13" s="230" t="str">
        <f t="shared" si="2"/>
        <v>F</v>
      </c>
      <c r="L13" s="215"/>
      <c r="M13" s="215" t="str">
        <f t="shared" si="3"/>
        <v/>
      </c>
      <c r="N13" s="214" t="str">
        <f t="shared" si="4"/>
        <v/>
      </c>
      <c r="O13" s="214" t="str">
        <f t="shared" si="5"/>
        <v/>
      </c>
      <c r="P13" s="214" t="str">
        <f t="shared" si="6"/>
        <v/>
      </c>
      <c r="Q13" s="214" t="str">
        <f t="shared" si="7"/>
        <v/>
      </c>
      <c r="R13" s="214" t="str">
        <f t="shared" si="8"/>
        <v/>
      </c>
      <c r="S13" s="214" t="str">
        <f t="shared" si="9"/>
        <v/>
      </c>
      <c r="T13" s="214" t="str">
        <f t="shared" si="10"/>
        <v/>
      </c>
      <c r="U13" s="214" t="str">
        <f t="shared" si="11"/>
        <v/>
      </c>
      <c r="V13" s="214" t="str">
        <f t="shared" si="12"/>
        <v/>
      </c>
      <c r="W13" s="214" t="str">
        <f t="shared" si="13"/>
        <v/>
      </c>
      <c r="X13" s="214">
        <f t="shared" si="14"/>
        <v>1</v>
      </c>
      <c r="Y13" s="210"/>
      <c r="Z13" s="210"/>
      <c r="AA13" s="210"/>
      <c r="AB13" s="205"/>
      <c r="AC13" s="205"/>
      <c r="AD13" s="205"/>
    </row>
    <row r="14" spans="2:30" ht="30" customHeight="1" thickBot="1" x14ac:dyDescent="0.35">
      <c r="B14" s="231">
        <f>'Students Names and ID'!B6</f>
        <v>0</v>
      </c>
      <c r="C14" s="232">
        <f>'Students Names and ID'!C6</f>
        <v>0</v>
      </c>
      <c r="D14" s="263">
        <f>SUM(Project!N9,Homework!X9,Quizzes!S9,Laboratory!R9)</f>
        <v>0</v>
      </c>
      <c r="E14" s="264">
        <f>'Midterm 1'!AH10</f>
        <v>0</v>
      </c>
      <c r="F14" s="264">
        <f>'Midterm 2'!AJ10</f>
        <v>0</v>
      </c>
      <c r="G14" s="264">
        <f t="shared" si="1"/>
        <v>0</v>
      </c>
      <c r="H14" s="264">
        <f>'Final Exam'!AI9</f>
        <v>0</v>
      </c>
      <c r="I14" s="264">
        <f>'Incomplete Final'!AI9</f>
        <v>0</v>
      </c>
      <c r="J14" s="233">
        <f t="shared" si="0"/>
        <v>0</v>
      </c>
      <c r="K14" s="230" t="str">
        <f t="shared" si="2"/>
        <v>F</v>
      </c>
      <c r="L14" s="215"/>
      <c r="M14" s="215" t="str">
        <f t="shared" si="3"/>
        <v/>
      </c>
      <c r="N14" s="214" t="str">
        <f t="shared" si="4"/>
        <v/>
      </c>
      <c r="O14" s="214" t="str">
        <f t="shared" si="5"/>
        <v/>
      </c>
      <c r="P14" s="214" t="str">
        <f t="shared" si="6"/>
        <v/>
      </c>
      <c r="Q14" s="214" t="str">
        <f t="shared" si="7"/>
        <v/>
      </c>
      <c r="R14" s="214" t="str">
        <f t="shared" si="8"/>
        <v/>
      </c>
      <c r="S14" s="214" t="str">
        <f t="shared" si="9"/>
        <v/>
      </c>
      <c r="T14" s="214" t="str">
        <f t="shared" si="10"/>
        <v/>
      </c>
      <c r="U14" s="214" t="str">
        <f t="shared" si="11"/>
        <v/>
      </c>
      <c r="V14" s="214" t="str">
        <f t="shared" si="12"/>
        <v/>
      </c>
      <c r="W14" s="214" t="str">
        <f t="shared" si="13"/>
        <v/>
      </c>
      <c r="X14" s="214">
        <f t="shared" si="14"/>
        <v>1</v>
      </c>
      <c r="Y14" s="210"/>
      <c r="Z14" s="210"/>
      <c r="AA14" s="210"/>
      <c r="AB14" s="205"/>
      <c r="AC14" s="205"/>
      <c r="AD14" s="205"/>
    </row>
    <row r="15" spans="2:30" ht="30" customHeight="1" thickBot="1" x14ac:dyDescent="0.35">
      <c r="B15" s="231">
        <f>'Students Names and ID'!B7</f>
        <v>0</v>
      </c>
      <c r="C15" s="232">
        <f>'Students Names and ID'!C7</f>
        <v>0</v>
      </c>
      <c r="D15" s="263">
        <f>SUM(Project!N10,Homework!X10,Quizzes!S10,Laboratory!R10)</f>
        <v>0</v>
      </c>
      <c r="E15" s="264">
        <f>'Midterm 1'!AH11</f>
        <v>0</v>
      </c>
      <c r="F15" s="264">
        <f>'Midterm 2'!AJ11</f>
        <v>0</v>
      </c>
      <c r="G15" s="264">
        <f t="shared" si="1"/>
        <v>0</v>
      </c>
      <c r="H15" s="264">
        <f>'Final Exam'!AI10</f>
        <v>0</v>
      </c>
      <c r="I15" s="264">
        <f>'Incomplete Final'!AI10</f>
        <v>0</v>
      </c>
      <c r="J15" s="233">
        <f t="shared" si="0"/>
        <v>0</v>
      </c>
      <c r="K15" s="230" t="str">
        <f t="shared" si="2"/>
        <v>F</v>
      </c>
      <c r="L15" s="215"/>
      <c r="M15" s="215" t="str">
        <f t="shared" si="3"/>
        <v/>
      </c>
      <c r="N15" s="214" t="str">
        <f t="shared" si="4"/>
        <v/>
      </c>
      <c r="O15" s="214" t="str">
        <f t="shared" si="5"/>
        <v/>
      </c>
      <c r="P15" s="214" t="str">
        <f t="shared" si="6"/>
        <v/>
      </c>
      <c r="Q15" s="214" t="str">
        <f t="shared" si="7"/>
        <v/>
      </c>
      <c r="R15" s="214" t="str">
        <f t="shared" si="8"/>
        <v/>
      </c>
      <c r="S15" s="214" t="str">
        <f t="shared" si="9"/>
        <v/>
      </c>
      <c r="T15" s="214" t="str">
        <f t="shared" si="10"/>
        <v/>
      </c>
      <c r="U15" s="214" t="str">
        <f t="shared" si="11"/>
        <v/>
      </c>
      <c r="V15" s="214" t="str">
        <f t="shared" si="12"/>
        <v/>
      </c>
      <c r="W15" s="214" t="str">
        <f t="shared" si="13"/>
        <v/>
      </c>
      <c r="X15" s="214">
        <f t="shared" si="14"/>
        <v>1</v>
      </c>
      <c r="Y15" s="210"/>
      <c r="Z15" s="210"/>
      <c r="AA15" s="210"/>
      <c r="AB15" s="205"/>
      <c r="AC15" s="205"/>
      <c r="AD15" s="205"/>
    </row>
    <row r="16" spans="2:30" ht="30" customHeight="1" thickBot="1" x14ac:dyDescent="0.35">
      <c r="B16" s="231">
        <f>'Students Names and ID'!B8</f>
        <v>0</v>
      </c>
      <c r="C16" s="232">
        <f>'Students Names and ID'!C8</f>
        <v>0</v>
      </c>
      <c r="D16" s="263">
        <f>SUM(Project!N11,Homework!X11,Quizzes!S11,Laboratory!R11)</f>
        <v>0</v>
      </c>
      <c r="E16" s="264">
        <f>'Midterm 1'!AH12</f>
        <v>0</v>
      </c>
      <c r="F16" s="264">
        <f>'Midterm 2'!AJ12</f>
        <v>0</v>
      </c>
      <c r="G16" s="264">
        <f t="shared" si="1"/>
        <v>0</v>
      </c>
      <c r="H16" s="264">
        <f>'Final Exam'!AI11</f>
        <v>0</v>
      </c>
      <c r="I16" s="264">
        <f>'Incomplete Final'!AI11</f>
        <v>0</v>
      </c>
      <c r="J16" s="233">
        <f t="shared" si="0"/>
        <v>0</v>
      </c>
      <c r="K16" s="230" t="str">
        <f t="shared" si="2"/>
        <v>F</v>
      </c>
      <c r="L16" s="215"/>
      <c r="M16" s="215" t="str">
        <f t="shared" si="3"/>
        <v/>
      </c>
      <c r="N16" s="214" t="str">
        <f t="shared" si="4"/>
        <v/>
      </c>
      <c r="O16" s="214" t="str">
        <f t="shared" si="5"/>
        <v/>
      </c>
      <c r="P16" s="214" t="str">
        <f t="shared" si="6"/>
        <v/>
      </c>
      <c r="Q16" s="214" t="str">
        <f t="shared" si="7"/>
        <v/>
      </c>
      <c r="R16" s="214" t="str">
        <f t="shared" si="8"/>
        <v/>
      </c>
      <c r="S16" s="214" t="str">
        <f t="shared" si="9"/>
        <v/>
      </c>
      <c r="T16" s="214" t="str">
        <f t="shared" si="10"/>
        <v/>
      </c>
      <c r="U16" s="214" t="str">
        <f t="shared" si="11"/>
        <v/>
      </c>
      <c r="V16" s="214" t="str">
        <f t="shared" si="12"/>
        <v/>
      </c>
      <c r="W16" s="214" t="str">
        <f t="shared" si="13"/>
        <v/>
      </c>
      <c r="X16" s="214">
        <f t="shared" si="14"/>
        <v>1</v>
      </c>
      <c r="Y16" s="210"/>
      <c r="Z16" s="210"/>
      <c r="AA16" s="210"/>
      <c r="AB16" s="205"/>
      <c r="AC16" s="205"/>
      <c r="AD16" s="205"/>
    </row>
    <row r="17" spans="2:30" ht="30" customHeight="1" thickBot="1" x14ac:dyDescent="0.35">
      <c r="B17" s="231">
        <f>'Students Names and ID'!B9</f>
        <v>0</v>
      </c>
      <c r="C17" s="232">
        <f>'Students Names and ID'!C9</f>
        <v>0</v>
      </c>
      <c r="D17" s="263">
        <f>SUM(Project!N12,Homework!X12,Quizzes!S12,Laboratory!R12)</f>
        <v>0</v>
      </c>
      <c r="E17" s="264">
        <f>'Midterm 1'!AH13</f>
        <v>0</v>
      </c>
      <c r="F17" s="264">
        <f>'Midterm 2'!AJ13</f>
        <v>0</v>
      </c>
      <c r="G17" s="264">
        <f t="shared" si="1"/>
        <v>0</v>
      </c>
      <c r="H17" s="264">
        <f>'Final Exam'!AI12</f>
        <v>0</v>
      </c>
      <c r="I17" s="264">
        <f>'Incomplete Final'!AI12</f>
        <v>0</v>
      </c>
      <c r="J17" s="233">
        <f t="shared" si="0"/>
        <v>0</v>
      </c>
      <c r="K17" s="230" t="str">
        <f t="shared" si="2"/>
        <v>F</v>
      </c>
      <c r="L17" s="215"/>
      <c r="M17" s="215" t="str">
        <f t="shared" si="3"/>
        <v/>
      </c>
      <c r="N17" s="214" t="str">
        <f t="shared" si="4"/>
        <v/>
      </c>
      <c r="O17" s="214" t="str">
        <f t="shared" si="5"/>
        <v/>
      </c>
      <c r="P17" s="214" t="str">
        <f t="shared" si="6"/>
        <v/>
      </c>
      <c r="Q17" s="214" t="str">
        <f t="shared" si="7"/>
        <v/>
      </c>
      <c r="R17" s="214" t="str">
        <f t="shared" si="8"/>
        <v/>
      </c>
      <c r="S17" s="214" t="str">
        <f t="shared" si="9"/>
        <v/>
      </c>
      <c r="T17" s="214" t="str">
        <f t="shared" si="10"/>
        <v/>
      </c>
      <c r="U17" s="214" t="str">
        <f t="shared" si="11"/>
        <v/>
      </c>
      <c r="V17" s="214" t="str">
        <f t="shared" si="12"/>
        <v/>
      </c>
      <c r="W17" s="214" t="str">
        <f t="shared" si="13"/>
        <v/>
      </c>
      <c r="X17" s="214">
        <f t="shared" si="14"/>
        <v>1</v>
      </c>
      <c r="Y17" s="210"/>
      <c r="Z17" s="210"/>
      <c r="AA17" s="210"/>
      <c r="AB17" s="205"/>
      <c r="AC17" s="205"/>
      <c r="AD17" s="205"/>
    </row>
    <row r="18" spans="2:30" ht="30" customHeight="1" thickBot="1" x14ac:dyDescent="0.35">
      <c r="B18" s="231">
        <f>'Students Names and ID'!B10</f>
        <v>0</v>
      </c>
      <c r="C18" s="232">
        <f>'Students Names and ID'!C10</f>
        <v>0</v>
      </c>
      <c r="D18" s="263">
        <f>SUM(Project!N13,Homework!X13,Quizzes!S13,Laboratory!R13)</f>
        <v>0</v>
      </c>
      <c r="E18" s="264">
        <f>'Midterm 1'!AH14</f>
        <v>0</v>
      </c>
      <c r="F18" s="264">
        <f>'Midterm 2'!AJ14</f>
        <v>0</v>
      </c>
      <c r="G18" s="264">
        <f t="shared" si="1"/>
        <v>0</v>
      </c>
      <c r="H18" s="264">
        <f>'Final Exam'!AI13</f>
        <v>0</v>
      </c>
      <c r="I18" s="264">
        <f>'Incomplete Final'!AI13</f>
        <v>0</v>
      </c>
      <c r="J18" s="233">
        <f t="shared" si="0"/>
        <v>0</v>
      </c>
      <c r="K18" s="230" t="str">
        <f t="shared" si="2"/>
        <v>F</v>
      </c>
      <c r="L18" s="215"/>
      <c r="M18" s="215" t="str">
        <f t="shared" si="3"/>
        <v/>
      </c>
      <c r="N18" s="214" t="str">
        <f t="shared" si="4"/>
        <v/>
      </c>
      <c r="O18" s="214" t="str">
        <f t="shared" si="5"/>
        <v/>
      </c>
      <c r="P18" s="214" t="str">
        <f t="shared" si="6"/>
        <v/>
      </c>
      <c r="Q18" s="214" t="str">
        <f t="shared" si="7"/>
        <v/>
      </c>
      <c r="R18" s="214" t="str">
        <f t="shared" si="8"/>
        <v/>
      </c>
      <c r="S18" s="214" t="str">
        <f t="shared" si="9"/>
        <v/>
      </c>
      <c r="T18" s="214" t="str">
        <f t="shared" si="10"/>
        <v/>
      </c>
      <c r="U18" s="214" t="str">
        <f t="shared" si="11"/>
        <v/>
      </c>
      <c r="V18" s="214" t="str">
        <f t="shared" si="12"/>
        <v/>
      </c>
      <c r="W18" s="214" t="str">
        <f t="shared" si="13"/>
        <v/>
      </c>
      <c r="X18" s="214">
        <f t="shared" si="14"/>
        <v>1</v>
      </c>
      <c r="Y18" s="210"/>
      <c r="Z18" s="210"/>
      <c r="AA18" s="210"/>
      <c r="AB18" s="205"/>
      <c r="AC18" s="205"/>
      <c r="AD18" s="205"/>
    </row>
    <row r="19" spans="2:30" ht="30" customHeight="1" thickBot="1" x14ac:dyDescent="0.35">
      <c r="B19" s="231">
        <f>'Students Names and ID'!B11</f>
        <v>0</v>
      </c>
      <c r="C19" s="232">
        <f>'Students Names and ID'!C11</f>
        <v>0</v>
      </c>
      <c r="D19" s="263">
        <f>SUM(Project!N14,Homework!X14,Quizzes!S14,Laboratory!R14)</f>
        <v>0</v>
      </c>
      <c r="E19" s="264">
        <f>'Midterm 1'!AH15</f>
        <v>0</v>
      </c>
      <c r="F19" s="264">
        <f>'Midterm 2'!AJ15</f>
        <v>0</v>
      </c>
      <c r="G19" s="264">
        <f t="shared" si="1"/>
        <v>0</v>
      </c>
      <c r="H19" s="264">
        <f>'Final Exam'!AI14</f>
        <v>0</v>
      </c>
      <c r="I19" s="264">
        <f>'Incomplete Final'!AI14</f>
        <v>0</v>
      </c>
      <c r="J19" s="233">
        <f t="shared" si="0"/>
        <v>0</v>
      </c>
      <c r="K19" s="230" t="str">
        <f t="shared" si="2"/>
        <v>F</v>
      </c>
      <c r="L19" s="215"/>
      <c r="M19" s="215" t="str">
        <f t="shared" si="3"/>
        <v/>
      </c>
      <c r="N19" s="214" t="str">
        <f t="shared" si="4"/>
        <v/>
      </c>
      <c r="O19" s="214" t="str">
        <f t="shared" si="5"/>
        <v/>
      </c>
      <c r="P19" s="214" t="str">
        <f t="shared" si="6"/>
        <v/>
      </c>
      <c r="Q19" s="214" t="str">
        <f t="shared" si="7"/>
        <v/>
      </c>
      <c r="R19" s="214" t="str">
        <f t="shared" si="8"/>
        <v/>
      </c>
      <c r="S19" s="214" t="str">
        <f t="shared" si="9"/>
        <v/>
      </c>
      <c r="T19" s="214" t="str">
        <f t="shared" si="10"/>
        <v/>
      </c>
      <c r="U19" s="214" t="str">
        <f t="shared" si="11"/>
        <v/>
      </c>
      <c r="V19" s="214" t="str">
        <f t="shared" si="12"/>
        <v/>
      </c>
      <c r="W19" s="214" t="str">
        <f t="shared" si="13"/>
        <v/>
      </c>
      <c r="X19" s="214">
        <f t="shared" si="14"/>
        <v>1</v>
      </c>
      <c r="Y19" s="210"/>
      <c r="Z19" s="210"/>
      <c r="AA19" s="210"/>
      <c r="AB19" s="205"/>
      <c r="AC19" s="205"/>
      <c r="AD19" s="205"/>
    </row>
    <row r="20" spans="2:30" ht="30" customHeight="1" thickBot="1" x14ac:dyDescent="0.35">
      <c r="B20" s="231">
        <f>'Students Names and ID'!B12</f>
        <v>0</v>
      </c>
      <c r="C20" s="232">
        <f>'Students Names and ID'!C12</f>
        <v>0</v>
      </c>
      <c r="D20" s="263">
        <f>SUM(Project!N15,Homework!X15,Quizzes!S15,Laboratory!R15)</f>
        <v>0</v>
      </c>
      <c r="E20" s="264">
        <f>'Midterm 1'!AH16</f>
        <v>0</v>
      </c>
      <c r="F20" s="264">
        <f>'Midterm 2'!AJ16</f>
        <v>0</v>
      </c>
      <c r="G20" s="264">
        <f t="shared" si="1"/>
        <v>0</v>
      </c>
      <c r="H20" s="264">
        <f>'Final Exam'!AI15</f>
        <v>0</v>
      </c>
      <c r="I20" s="264">
        <f>'Incomplete Final'!AI15</f>
        <v>0</v>
      </c>
      <c r="J20" s="233">
        <f t="shared" si="0"/>
        <v>0</v>
      </c>
      <c r="K20" s="230" t="str">
        <f t="shared" si="2"/>
        <v>F</v>
      </c>
      <c r="L20" s="215"/>
      <c r="M20" s="215" t="str">
        <f t="shared" si="3"/>
        <v/>
      </c>
      <c r="N20" s="214" t="str">
        <f t="shared" si="4"/>
        <v/>
      </c>
      <c r="O20" s="214" t="str">
        <f t="shared" si="5"/>
        <v/>
      </c>
      <c r="P20" s="214" t="str">
        <f t="shared" si="6"/>
        <v/>
      </c>
      <c r="Q20" s="214" t="str">
        <f t="shared" si="7"/>
        <v/>
      </c>
      <c r="R20" s="214" t="str">
        <f t="shared" si="8"/>
        <v/>
      </c>
      <c r="S20" s="214" t="str">
        <f t="shared" si="9"/>
        <v/>
      </c>
      <c r="T20" s="214" t="str">
        <f t="shared" si="10"/>
        <v/>
      </c>
      <c r="U20" s="214" t="str">
        <f t="shared" si="11"/>
        <v/>
      </c>
      <c r="V20" s="214" t="str">
        <f t="shared" si="12"/>
        <v/>
      </c>
      <c r="W20" s="214" t="str">
        <f t="shared" si="13"/>
        <v/>
      </c>
      <c r="X20" s="214">
        <f t="shared" si="14"/>
        <v>1</v>
      </c>
      <c r="Y20" s="210"/>
      <c r="Z20" s="210"/>
      <c r="AA20" s="210"/>
      <c r="AB20" s="205"/>
      <c r="AC20" s="205"/>
      <c r="AD20" s="205"/>
    </row>
    <row r="21" spans="2:30" ht="30" customHeight="1" thickBot="1" x14ac:dyDescent="0.35">
      <c r="B21" s="231">
        <f>'Students Names and ID'!B13</f>
        <v>0</v>
      </c>
      <c r="C21" s="232">
        <f>'Students Names and ID'!C13</f>
        <v>0</v>
      </c>
      <c r="D21" s="263">
        <f>SUM(Project!N16,Homework!X16,Quizzes!S16,Laboratory!R16)</f>
        <v>0</v>
      </c>
      <c r="E21" s="264">
        <f>'Midterm 1'!AH17</f>
        <v>0</v>
      </c>
      <c r="F21" s="264">
        <f>'Midterm 2'!AJ17</f>
        <v>0</v>
      </c>
      <c r="G21" s="264">
        <f t="shared" si="1"/>
        <v>0</v>
      </c>
      <c r="H21" s="264">
        <f>'Final Exam'!AI16</f>
        <v>0</v>
      </c>
      <c r="I21" s="264">
        <f>'Incomplete Final'!AI16</f>
        <v>0</v>
      </c>
      <c r="J21" s="233">
        <f t="shared" si="0"/>
        <v>0</v>
      </c>
      <c r="K21" s="230" t="str">
        <f t="shared" si="2"/>
        <v>F</v>
      </c>
      <c r="L21" s="215"/>
      <c r="M21" s="215" t="str">
        <f t="shared" si="3"/>
        <v/>
      </c>
      <c r="N21" s="214" t="str">
        <f t="shared" si="4"/>
        <v/>
      </c>
      <c r="O21" s="214" t="str">
        <f t="shared" si="5"/>
        <v/>
      </c>
      <c r="P21" s="214" t="str">
        <f t="shared" si="6"/>
        <v/>
      </c>
      <c r="Q21" s="214" t="str">
        <f t="shared" si="7"/>
        <v/>
      </c>
      <c r="R21" s="214" t="str">
        <f t="shared" si="8"/>
        <v/>
      </c>
      <c r="S21" s="214" t="str">
        <f t="shared" si="9"/>
        <v/>
      </c>
      <c r="T21" s="214" t="str">
        <f t="shared" si="10"/>
        <v/>
      </c>
      <c r="U21" s="214" t="str">
        <f t="shared" si="11"/>
        <v/>
      </c>
      <c r="V21" s="214" t="str">
        <f t="shared" si="12"/>
        <v/>
      </c>
      <c r="W21" s="214" t="str">
        <f t="shared" si="13"/>
        <v/>
      </c>
      <c r="X21" s="214">
        <f t="shared" si="14"/>
        <v>1</v>
      </c>
      <c r="Y21" s="210"/>
      <c r="Z21" s="210"/>
      <c r="AA21" s="210"/>
      <c r="AB21" s="205"/>
      <c r="AC21" s="205"/>
      <c r="AD21" s="205"/>
    </row>
    <row r="22" spans="2:30" ht="30" customHeight="1" thickBot="1" x14ac:dyDescent="0.35">
      <c r="B22" s="231">
        <f>'Students Names and ID'!B14</f>
        <v>0</v>
      </c>
      <c r="C22" s="232">
        <f>'Students Names and ID'!C14</f>
        <v>0</v>
      </c>
      <c r="D22" s="263">
        <f>SUM(Project!N17,Homework!X17,Quizzes!S17,Laboratory!R17)</f>
        <v>0</v>
      </c>
      <c r="E22" s="264">
        <f>'Midterm 1'!AH18</f>
        <v>0</v>
      </c>
      <c r="F22" s="264">
        <f>'Midterm 2'!AJ18</f>
        <v>0</v>
      </c>
      <c r="G22" s="264">
        <f t="shared" si="1"/>
        <v>0</v>
      </c>
      <c r="H22" s="264">
        <f>'Final Exam'!AI17</f>
        <v>0</v>
      </c>
      <c r="I22" s="264">
        <f>'Incomplete Final'!AI17</f>
        <v>0</v>
      </c>
      <c r="J22" s="233">
        <f t="shared" si="0"/>
        <v>0</v>
      </c>
      <c r="K22" s="230" t="str">
        <f t="shared" si="2"/>
        <v>F</v>
      </c>
      <c r="L22" s="215"/>
      <c r="M22" s="215" t="str">
        <f t="shared" si="3"/>
        <v/>
      </c>
      <c r="N22" s="214" t="str">
        <f t="shared" si="4"/>
        <v/>
      </c>
      <c r="O22" s="214" t="str">
        <f t="shared" si="5"/>
        <v/>
      </c>
      <c r="P22" s="214" t="str">
        <f t="shared" si="6"/>
        <v/>
      </c>
      <c r="Q22" s="214" t="str">
        <f t="shared" si="7"/>
        <v/>
      </c>
      <c r="R22" s="214" t="str">
        <f t="shared" si="8"/>
        <v/>
      </c>
      <c r="S22" s="214" t="str">
        <f t="shared" si="9"/>
        <v/>
      </c>
      <c r="T22" s="214" t="str">
        <f t="shared" si="10"/>
        <v/>
      </c>
      <c r="U22" s="214" t="str">
        <f t="shared" si="11"/>
        <v/>
      </c>
      <c r="V22" s="214" t="str">
        <f t="shared" si="12"/>
        <v/>
      </c>
      <c r="W22" s="214" t="str">
        <f t="shared" si="13"/>
        <v/>
      </c>
      <c r="X22" s="214">
        <f t="shared" si="14"/>
        <v>1</v>
      </c>
      <c r="Y22" s="210"/>
      <c r="Z22" s="210"/>
      <c r="AA22" s="210"/>
      <c r="AB22" s="205"/>
      <c r="AC22" s="205"/>
      <c r="AD22" s="205"/>
    </row>
    <row r="23" spans="2:30" ht="30" customHeight="1" thickBot="1" x14ac:dyDescent="0.35">
      <c r="B23" s="231">
        <f>'Students Names and ID'!B15</f>
        <v>0</v>
      </c>
      <c r="C23" s="232">
        <f>'Students Names and ID'!C15</f>
        <v>0</v>
      </c>
      <c r="D23" s="263">
        <f>SUM(Project!N18,Homework!X18,Quizzes!S18,Laboratory!R18)</f>
        <v>0</v>
      </c>
      <c r="E23" s="264">
        <f>'Midterm 1'!AH19</f>
        <v>0</v>
      </c>
      <c r="F23" s="264">
        <f>'Midterm 2'!AJ19</f>
        <v>0</v>
      </c>
      <c r="G23" s="264">
        <f t="shared" si="1"/>
        <v>0</v>
      </c>
      <c r="H23" s="264">
        <f>'Final Exam'!AI18</f>
        <v>0</v>
      </c>
      <c r="I23" s="264">
        <f>'Incomplete Final'!AI18</f>
        <v>0</v>
      </c>
      <c r="J23" s="233">
        <f t="shared" si="0"/>
        <v>0</v>
      </c>
      <c r="K23" s="230" t="str">
        <f t="shared" si="2"/>
        <v>F</v>
      </c>
      <c r="L23" s="215"/>
      <c r="M23" s="215" t="str">
        <f t="shared" si="3"/>
        <v/>
      </c>
      <c r="N23" s="214" t="str">
        <f t="shared" si="4"/>
        <v/>
      </c>
      <c r="O23" s="214" t="str">
        <f t="shared" si="5"/>
        <v/>
      </c>
      <c r="P23" s="214" t="str">
        <f t="shared" si="6"/>
        <v/>
      </c>
      <c r="Q23" s="214" t="str">
        <f t="shared" si="7"/>
        <v/>
      </c>
      <c r="R23" s="214" t="str">
        <f t="shared" si="8"/>
        <v/>
      </c>
      <c r="S23" s="214" t="str">
        <f t="shared" si="9"/>
        <v/>
      </c>
      <c r="T23" s="214" t="str">
        <f t="shared" si="10"/>
        <v/>
      </c>
      <c r="U23" s="214" t="str">
        <f t="shared" si="11"/>
        <v/>
      </c>
      <c r="V23" s="214" t="str">
        <f t="shared" si="12"/>
        <v/>
      </c>
      <c r="W23" s="214" t="str">
        <f t="shared" si="13"/>
        <v/>
      </c>
      <c r="X23" s="214">
        <f t="shared" si="14"/>
        <v>1</v>
      </c>
      <c r="Y23" s="210"/>
      <c r="Z23" s="210"/>
      <c r="AA23" s="210"/>
      <c r="AB23" s="205"/>
      <c r="AC23" s="205"/>
      <c r="AD23" s="205"/>
    </row>
    <row r="24" spans="2:30" ht="30" customHeight="1" thickBot="1" x14ac:dyDescent="0.35">
      <c r="B24" s="231">
        <f>'Students Names and ID'!B16</f>
        <v>0</v>
      </c>
      <c r="C24" s="232">
        <f>'Students Names and ID'!C16</f>
        <v>0</v>
      </c>
      <c r="D24" s="263">
        <f>SUM(Project!N19,Homework!X19,Quizzes!S19,Laboratory!R19)</f>
        <v>0</v>
      </c>
      <c r="E24" s="264">
        <f>'Midterm 1'!AH20</f>
        <v>0</v>
      </c>
      <c r="F24" s="264">
        <f>'Midterm 2'!AJ20</f>
        <v>0</v>
      </c>
      <c r="G24" s="264">
        <f t="shared" si="1"/>
        <v>0</v>
      </c>
      <c r="H24" s="264">
        <f>'Final Exam'!AI19</f>
        <v>0</v>
      </c>
      <c r="I24" s="264">
        <f>'Incomplete Final'!AI19</f>
        <v>0</v>
      </c>
      <c r="J24" s="233">
        <f t="shared" si="0"/>
        <v>0</v>
      </c>
      <c r="K24" s="230" t="str">
        <f t="shared" si="2"/>
        <v>F</v>
      </c>
      <c r="L24" s="210"/>
      <c r="M24" s="215" t="str">
        <f t="shared" si="3"/>
        <v/>
      </c>
      <c r="N24" s="214" t="str">
        <f t="shared" si="4"/>
        <v/>
      </c>
      <c r="O24" s="214" t="str">
        <f t="shared" si="5"/>
        <v/>
      </c>
      <c r="P24" s="214" t="str">
        <f t="shared" si="6"/>
        <v/>
      </c>
      <c r="Q24" s="214" t="str">
        <f t="shared" si="7"/>
        <v/>
      </c>
      <c r="R24" s="214" t="str">
        <f t="shared" si="8"/>
        <v/>
      </c>
      <c r="S24" s="214" t="str">
        <f t="shared" si="9"/>
        <v/>
      </c>
      <c r="T24" s="214" t="str">
        <f t="shared" si="10"/>
        <v/>
      </c>
      <c r="U24" s="214" t="str">
        <f t="shared" si="11"/>
        <v/>
      </c>
      <c r="V24" s="214" t="str">
        <f t="shared" si="12"/>
        <v/>
      </c>
      <c r="W24" s="214" t="str">
        <f t="shared" si="13"/>
        <v/>
      </c>
      <c r="X24" s="214">
        <f t="shared" si="14"/>
        <v>1</v>
      </c>
      <c r="Y24" s="210"/>
      <c r="Z24" s="210"/>
      <c r="AA24" s="210"/>
      <c r="AB24" s="205"/>
      <c r="AC24" s="205"/>
      <c r="AD24" s="205"/>
    </row>
    <row r="25" spans="2:30" ht="30" customHeight="1" thickBot="1" x14ac:dyDescent="0.35">
      <c r="B25" s="231">
        <f>'Students Names and ID'!B17</f>
        <v>0</v>
      </c>
      <c r="C25" s="232">
        <f>'Students Names and ID'!C17</f>
        <v>0</v>
      </c>
      <c r="D25" s="263">
        <f>SUM(Project!N20,Homework!X20,Quizzes!S20,Laboratory!R20)</f>
        <v>0</v>
      </c>
      <c r="E25" s="264">
        <f>'Midterm 1'!AH21</f>
        <v>0</v>
      </c>
      <c r="F25" s="264">
        <f>'Midterm 2'!AJ21</f>
        <v>0</v>
      </c>
      <c r="G25" s="264">
        <f t="shared" si="1"/>
        <v>0</v>
      </c>
      <c r="H25" s="264">
        <f>'Final Exam'!AI20</f>
        <v>0</v>
      </c>
      <c r="I25" s="264">
        <f>'Incomplete Final'!AI20</f>
        <v>0</v>
      </c>
      <c r="J25" s="233">
        <f t="shared" si="0"/>
        <v>0</v>
      </c>
      <c r="K25" s="230" t="str">
        <f t="shared" si="2"/>
        <v>F</v>
      </c>
      <c r="L25" s="210"/>
      <c r="M25" s="215" t="str">
        <f t="shared" si="3"/>
        <v/>
      </c>
      <c r="N25" s="214" t="str">
        <f t="shared" si="4"/>
        <v/>
      </c>
      <c r="O25" s="214" t="str">
        <f t="shared" si="5"/>
        <v/>
      </c>
      <c r="P25" s="214" t="str">
        <f t="shared" si="6"/>
        <v/>
      </c>
      <c r="Q25" s="214" t="str">
        <f t="shared" si="7"/>
        <v/>
      </c>
      <c r="R25" s="214" t="str">
        <f t="shared" si="8"/>
        <v/>
      </c>
      <c r="S25" s="214" t="str">
        <f t="shared" si="9"/>
        <v/>
      </c>
      <c r="T25" s="214" t="str">
        <f t="shared" si="10"/>
        <v/>
      </c>
      <c r="U25" s="214" t="str">
        <f t="shared" si="11"/>
        <v/>
      </c>
      <c r="V25" s="214" t="str">
        <f t="shared" si="12"/>
        <v/>
      </c>
      <c r="W25" s="214" t="str">
        <f t="shared" si="13"/>
        <v/>
      </c>
      <c r="X25" s="214">
        <f t="shared" si="14"/>
        <v>1</v>
      </c>
      <c r="Y25" s="210"/>
      <c r="Z25" s="210"/>
      <c r="AA25" s="210"/>
      <c r="AB25" s="205"/>
      <c r="AC25" s="205"/>
      <c r="AD25" s="205"/>
    </row>
    <row r="26" spans="2:30" ht="30" customHeight="1" thickBot="1" x14ac:dyDescent="0.35">
      <c r="B26" s="231">
        <f>'Students Names and ID'!B18</f>
        <v>0</v>
      </c>
      <c r="C26" s="232">
        <f>'Students Names and ID'!C18</f>
        <v>0</v>
      </c>
      <c r="D26" s="263">
        <f>SUM(Project!N21,Homework!X21,Quizzes!S21,Laboratory!R21)</f>
        <v>0</v>
      </c>
      <c r="E26" s="264">
        <f>'Midterm 1'!AH22</f>
        <v>0</v>
      </c>
      <c r="F26" s="264">
        <f>'Midterm 2'!AJ22</f>
        <v>0</v>
      </c>
      <c r="G26" s="264">
        <f t="shared" si="1"/>
        <v>0</v>
      </c>
      <c r="H26" s="264">
        <f>'Final Exam'!AI21</f>
        <v>0</v>
      </c>
      <c r="I26" s="264">
        <f>'Incomplete Final'!AI21</f>
        <v>0</v>
      </c>
      <c r="J26" s="233">
        <f t="shared" si="0"/>
        <v>0</v>
      </c>
      <c r="K26" s="230" t="str">
        <f t="shared" si="2"/>
        <v>F</v>
      </c>
      <c r="L26" s="210"/>
      <c r="M26" s="215" t="str">
        <f t="shared" si="3"/>
        <v/>
      </c>
      <c r="N26" s="214" t="str">
        <f t="shared" si="4"/>
        <v/>
      </c>
      <c r="O26" s="214" t="str">
        <f t="shared" si="5"/>
        <v/>
      </c>
      <c r="P26" s="214" t="str">
        <f t="shared" si="6"/>
        <v/>
      </c>
      <c r="Q26" s="214" t="str">
        <f t="shared" si="7"/>
        <v/>
      </c>
      <c r="R26" s="214" t="str">
        <f t="shared" si="8"/>
        <v/>
      </c>
      <c r="S26" s="214" t="str">
        <f t="shared" si="9"/>
        <v/>
      </c>
      <c r="T26" s="214" t="str">
        <f t="shared" si="10"/>
        <v/>
      </c>
      <c r="U26" s="214" t="str">
        <f t="shared" si="11"/>
        <v/>
      </c>
      <c r="V26" s="214" t="str">
        <f t="shared" si="12"/>
        <v/>
      </c>
      <c r="W26" s="214" t="str">
        <f t="shared" si="13"/>
        <v/>
      </c>
      <c r="X26" s="214">
        <f t="shared" si="14"/>
        <v>1</v>
      </c>
      <c r="Y26" s="210"/>
      <c r="Z26" s="210"/>
      <c r="AA26" s="210"/>
      <c r="AB26" s="205"/>
      <c r="AC26" s="205"/>
      <c r="AD26" s="205"/>
    </row>
    <row r="27" spans="2:30" ht="30" customHeight="1" thickBot="1" x14ac:dyDescent="0.35">
      <c r="B27" s="231">
        <f>'Students Names and ID'!B19</f>
        <v>0</v>
      </c>
      <c r="C27" s="232">
        <f>'Students Names and ID'!C19</f>
        <v>0</v>
      </c>
      <c r="D27" s="263">
        <f>SUM(Project!N22,Homework!X22,Quizzes!S22,Laboratory!R22)</f>
        <v>0</v>
      </c>
      <c r="E27" s="264">
        <f>'Midterm 1'!AH23</f>
        <v>0</v>
      </c>
      <c r="F27" s="264">
        <f>'Midterm 2'!AJ23</f>
        <v>0</v>
      </c>
      <c r="G27" s="264">
        <f t="shared" si="1"/>
        <v>0</v>
      </c>
      <c r="H27" s="264">
        <f>'Final Exam'!AI22</f>
        <v>0</v>
      </c>
      <c r="I27" s="264">
        <f>'Incomplete Final'!AI22</f>
        <v>0</v>
      </c>
      <c r="J27" s="233">
        <f t="shared" si="0"/>
        <v>0</v>
      </c>
      <c r="K27" s="230" t="str">
        <f t="shared" si="2"/>
        <v>F</v>
      </c>
      <c r="L27" s="210"/>
      <c r="M27" s="215" t="str">
        <f t="shared" si="3"/>
        <v/>
      </c>
      <c r="N27" s="214" t="str">
        <f t="shared" si="4"/>
        <v/>
      </c>
      <c r="O27" s="214" t="str">
        <f t="shared" si="5"/>
        <v/>
      </c>
      <c r="P27" s="214" t="str">
        <f t="shared" si="6"/>
        <v/>
      </c>
      <c r="Q27" s="214" t="str">
        <f t="shared" si="7"/>
        <v/>
      </c>
      <c r="R27" s="214" t="str">
        <f t="shared" si="8"/>
        <v/>
      </c>
      <c r="S27" s="214" t="str">
        <f t="shared" si="9"/>
        <v/>
      </c>
      <c r="T27" s="214" t="str">
        <f t="shared" si="10"/>
        <v/>
      </c>
      <c r="U27" s="214" t="str">
        <f t="shared" si="11"/>
        <v/>
      </c>
      <c r="V27" s="214" t="str">
        <f t="shared" si="12"/>
        <v/>
      </c>
      <c r="W27" s="214" t="str">
        <f t="shared" si="13"/>
        <v/>
      </c>
      <c r="X27" s="214">
        <f t="shared" si="14"/>
        <v>1</v>
      </c>
      <c r="Y27" s="210"/>
      <c r="Z27" s="210"/>
      <c r="AA27" s="210"/>
      <c r="AB27" s="205"/>
      <c r="AC27" s="205"/>
      <c r="AD27" s="205"/>
    </row>
    <row r="28" spans="2:30" ht="30" customHeight="1" thickBot="1" x14ac:dyDescent="0.35">
      <c r="B28" s="231">
        <f>'Students Names and ID'!B20</f>
        <v>0</v>
      </c>
      <c r="C28" s="232">
        <f>'Students Names and ID'!C20</f>
        <v>0</v>
      </c>
      <c r="D28" s="263">
        <f>SUM(Project!N23,Homework!X23,Quizzes!S23,Laboratory!R23)</f>
        <v>0</v>
      </c>
      <c r="E28" s="264">
        <f>'Midterm 1'!AH24</f>
        <v>0</v>
      </c>
      <c r="F28" s="264">
        <f>'Midterm 2'!AJ24</f>
        <v>0</v>
      </c>
      <c r="G28" s="264">
        <f t="shared" si="1"/>
        <v>0</v>
      </c>
      <c r="H28" s="264">
        <f>'Final Exam'!AI23</f>
        <v>0</v>
      </c>
      <c r="I28" s="264">
        <f>'Incomplete Final'!AI23</f>
        <v>0</v>
      </c>
      <c r="J28" s="233">
        <f t="shared" si="0"/>
        <v>0</v>
      </c>
      <c r="K28" s="230" t="str">
        <f t="shared" si="2"/>
        <v>F</v>
      </c>
      <c r="L28" s="210"/>
      <c r="M28" s="215" t="str">
        <f t="shared" si="3"/>
        <v/>
      </c>
      <c r="N28" s="214" t="str">
        <f t="shared" si="4"/>
        <v/>
      </c>
      <c r="O28" s="214" t="str">
        <f t="shared" si="5"/>
        <v/>
      </c>
      <c r="P28" s="214" t="str">
        <f t="shared" si="6"/>
        <v/>
      </c>
      <c r="Q28" s="214" t="str">
        <f t="shared" si="7"/>
        <v/>
      </c>
      <c r="R28" s="214" t="str">
        <f t="shared" si="8"/>
        <v/>
      </c>
      <c r="S28" s="214" t="str">
        <f t="shared" si="9"/>
        <v/>
      </c>
      <c r="T28" s="214" t="str">
        <f t="shared" si="10"/>
        <v/>
      </c>
      <c r="U28" s="214" t="str">
        <f t="shared" si="11"/>
        <v/>
      </c>
      <c r="V28" s="214" t="str">
        <f t="shared" si="12"/>
        <v/>
      </c>
      <c r="W28" s="214" t="str">
        <f t="shared" si="13"/>
        <v/>
      </c>
      <c r="X28" s="214">
        <f t="shared" si="14"/>
        <v>1</v>
      </c>
      <c r="Y28" s="210"/>
      <c r="Z28" s="210"/>
      <c r="AA28" s="210"/>
      <c r="AB28" s="205"/>
      <c r="AC28" s="205"/>
      <c r="AD28" s="205"/>
    </row>
    <row r="29" spans="2:30" ht="30" customHeight="1" thickBot="1" x14ac:dyDescent="0.35">
      <c r="B29" s="231">
        <f>'Students Names and ID'!B21</f>
        <v>0</v>
      </c>
      <c r="C29" s="232">
        <f>'Students Names and ID'!C21</f>
        <v>0</v>
      </c>
      <c r="D29" s="263">
        <f>SUM(Project!N24,Homework!X24,Quizzes!S24,Laboratory!R24)</f>
        <v>0</v>
      </c>
      <c r="E29" s="264">
        <f>'Midterm 1'!AH25</f>
        <v>0</v>
      </c>
      <c r="F29" s="264">
        <f>'Midterm 2'!AJ25</f>
        <v>0</v>
      </c>
      <c r="G29" s="264">
        <f t="shared" si="1"/>
        <v>0</v>
      </c>
      <c r="H29" s="264">
        <f>'Final Exam'!AI24</f>
        <v>0</v>
      </c>
      <c r="I29" s="264">
        <f>'Incomplete Final'!AI24</f>
        <v>0</v>
      </c>
      <c r="J29" s="233">
        <f t="shared" si="0"/>
        <v>0</v>
      </c>
      <c r="K29" s="230" t="str">
        <f t="shared" si="2"/>
        <v>F</v>
      </c>
      <c r="L29" s="210"/>
      <c r="M29" s="215" t="str">
        <f t="shared" si="3"/>
        <v/>
      </c>
      <c r="N29" s="214" t="str">
        <f t="shared" si="4"/>
        <v/>
      </c>
      <c r="O29" s="214" t="str">
        <f t="shared" si="5"/>
        <v/>
      </c>
      <c r="P29" s="214" t="str">
        <f t="shared" si="6"/>
        <v/>
      </c>
      <c r="Q29" s="214" t="str">
        <f t="shared" si="7"/>
        <v/>
      </c>
      <c r="R29" s="214" t="str">
        <f t="shared" si="8"/>
        <v/>
      </c>
      <c r="S29" s="214" t="str">
        <f t="shared" si="9"/>
        <v/>
      </c>
      <c r="T29" s="214" t="str">
        <f t="shared" si="10"/>
        <v/>
      </c>
      <c r="U29" s="214" t="str">
        <f t="shared" si="11"/>
        <v/>
      </c>
      <c r="V29" s="214" t="str">
        <f t="shared" si="12"/>
        <v/>
      </c>
      <c r="W29" s="214" t="str">
        <f t="shared" si="13"/>
        <v/>
      </c>
      <c r="X29" s="214">
        <f t="shared" si="14"/>
        <v>1</v>
      </c>
      <c r="Y29" s="210"/>
      <c r="Z29" s="210"/>
      <c r="AA29" s="210"/>
      <c r="AB29" s="205"/>
      <c r="AC29" s="205"/>
      <c r="AD29" s="205"/>
    </row>
    <row r="30" spans="2:30" ht="30" customHeight="1" thickBot="1" x14ac:dyDescent="0.35">
      <c r="B30" s="231">
        <f>'Students Names and ID'!B22</f>
        <v>0</v>
      </c>
      <c r="C30" s="232">
        <f>'Students Names and ID'!C22</f>
        <v>0</v>
      </c>
      <c r="D30" s="263">
        <f>SUM(Project!N25,Homework!X25,Quizzes!S25,Laboratory!R25)</f>
        <v>0</v>
      </c>
      <c r="E30" s="264">
        <f>'Midterm 1'!AH26</f>
        <v>0</v>
      </c>
      <c r="F30" s="264">
        <f>'Midterm 2'!AJ26</f>
        <v>0</v>
      </c>
      <c r="G30" s="264">
        <f t="shared" si="1"/>
        <v>0</v>
      </c>
      <c r="H30" s="264">
        <f>'Final Exam'!AI25</f>
        <v>0</v>
      </c>
      <c r="I30" s="264">
        <f>'Incomplete Final'!AI25</f>
        <v>0</v>
      </c>
      <c r="J30" s="233">
        <f t="shared" si="0"/>
        <v>0</v>
      </c>
      <c r="K30" s="230" t="str">
        <f t="shared" si="2"/>
        <v>F</v>
      </c>
      <c r="L30" s="210"/>
      <c r="M30" s="215" t="str">
        <f t="shared" si="3"/>
        <v/>
      </c>
      <c r="N30" s="214" t="str">
        <f t="shared" si="4"/>
        <v/>
      </c>
      <c r="O30" s="214" t="str">
        <f t="shared" si="5"/>
        <v/>
      </c>
      <c r="P30" s="214" t="str">
        <f t="shared" si="6"/>
        <v/>
      </c>
      <c r="Q30" s="214" t="str">
        <f t="shared" si="7"/>
        <v/>
      </c>
      <c r="R30" s="214" t="str">
        <f t="shared" si="8"/>
        <v/>
      </c>
      <c r="S30" s="214" t="str">
        <f t="shared" si="9"/>
        <v/>
      </c>
      <c r="T30" s="214" t="str">
        <f t="shared" si="10"/>
        <v/>
      </c>
      <c r="U30" s="214" t="str">
        <f t="shared" si="11"/>
        <v/>
      </c>
      <c r="V30" s="214" t="str">
        <f t="shared" si="12"/>
        <v/>
      </c>
      <c r="W30" s="214" t="str">
        <f t="shared" si="13"/>
        <v/>
      </c>
      <c r="X30" s="214">
        <f t="shared" si="14"/>
        <v>1</v>
      </c>
      <c r="Y30" s="210"/>
      <c r="Z30" s="210"/>
      <c r="AA30" s="210"/>
      <c r="AB30" s="205"/>
      <c r="AC30" s="205"/>
      <c r="AD30" s="205"/>
    </row>
    <row r="31" spans="2:30" ht="30" customHeight="1" thickBot="1" x14ac:dyDescent="0.35">
      <c r="B31" s="231">
        <f>'Students Names and ID'!B23</f>
        <v>0</v>
      </c>
      <c r="C31" s="232">
        <f>'Students Names and ID'!C23</f>
        <v>0</v>
      </c>
      <c r="D31" s="263">
        <f>SUM(Project!N26,Homework!X26,Quizzes!S26,Laboratory!R26)</f>
        <v>0</v>
      </c>
      <c r="E31" s="264">
        <f>'Midterm 1'!AH27</f>
        <v>0</v>
      </c>
      <c r="F31" s="264">
        <f>'Midterm 2'!AJ27</f>
        <v>0</v>
      </c>
      <c r="G31" s="264">
        <f t="shared" si="1"/>
        <v>0</v>
      </c>
      <c r="H31" s="264">
        <f>'Final Exam'!AI26</f>
        <v>0</v>
      </c>
      <c r="I31" s="264">
        <f>'Incomplete Final'!AI26</f>
        <v>0</v>
      </c>
      <c r="J31" s="233">
        <f t="shared" si="0"/>
        <v>0</v>
      </c>
      <c r="K31" s="230" t="str">
        <f t="shared" si="2"/>
        <v>F</v>
      </c>
      <c r="L31" s="210"/>
      <c r="M31" s="215" t="str">
        <f t="shared" si="3"/>
        <v/>
      </c>
      <c r="N31" s="214" t="str">
        <f t="shared" si="4"/>
        <v/>
      </c>
      <c r="O31" s="214" t="str">
        <f t="shared" si="5"/>
        <v/>
      </c>
      <c r="P31" s="214" t="str">
        <f t="shared" si="6"/>
        <v/>
      </c>
      <c r="Q31" s="214" t="str">
        <f t="shared" si="7"/>
        <v/>
      </c>
      <c r="R31" s="214" t="str">
        <f t="shared" si="8"/>
        <v/>
      </c>
      <c r="S31" s="214" t="str">
        <f t="shared" si="9"/>
        <v/>
      </c>
      <c r="T31" s="214" t="str">
        <f t="shared" si="10"/>
        <v/>
      </c>
      <c r="U31" s="214" t="str">
        <f t="shared" si="11"/>
        <v/>
      </c>
      <c r="V31" s="214" t="str">
        <f t="shared" si="12"/>
        <v/>
      </c>
      <c r="W31" s="214" t="str">
        <f t="shared" si="13"/>
        <v/>
      </c>
      <c r="X31" s="214">
        <f t="shared" si="14"/>
        <v>1</v>
      </c>
      <c r="Y31" s="210"/>
      <c r="Z31" s="210"/>
      <c r="AA31" s="210"/>
      <c r="AB31" s="205"/>
      <c r="AC31" s="205"/>
      <c r="AD31" s="205"/>
    </row>
    <row r="32" spans="2:30" ht="30" customHeight="1" thickBot="1" x14ac:dyDescent="0.35">
      <c r="B32" s="231">
        <f>'Students Names and ID'!B24</f>
        <v>0</v>
      </c>
      <c r="C32" s="232">
        <f>'Students Names and ID'!C24</f>
        <v>0</v>
      </c>
      <c r="D32" s="263">
        <f>SUM(Project!N27,Homework!X27,Quizzes!S27,Laboratory!R27)</f>
        <v>0</v>
      </c>
      <c r="E32" s="264">
        <f>'Midterm 1'!AH28</f>
        <v>0</v>
      </c>
      <c r="F32" s="264">
        <f>'Midterm 2'!AJ28</f>
        <v>0</v>
      </c>
      <c r="G32" s="264">
        <f t="shared" si="1"/>
        <v>0</v>
      </c>
      <c r="H32" s="264">
        <f>'Final Exam'!AI27</f>
        <v>0</v>
      </c>
      <c r="I32" s="264">
        <f>'Incomplete Final'!AI27</f>
        <v>0</v>
      </c>
      <c r="J32" s="233">
        <f t="shared" si="0"/>
        <v>0</v>
      </c>
      <c r="K32" s="230" t="str">
        <f t="shared" si="2"/>
        <v>F</v>
      </c>
      <c r="L32" s="210"/>
      <c r="M32" s="215" t="str">
        <f t="shared" si="3"/>
        <v/>
      </c>
      <c r="N32" s="214" t="str">
        <f t="shared" si="4"/>
        <v/>
      </c>
      <c r="O32" s="214" t="str">
        <f t="shared" si="5"/>
        <v/>
      </c>
      <c r="P32" s="214" t="str">
        <f t="shared" si="6"/>
        <v/>
      </c>
      <c r="Q32" s="214" t="str">
        <f t="shared" si="7"/>
        <v/>
      </c>
      <c r="R32" s="214" t="str">
        <f t="shared" si="8"/>
        <v/>
      </c>
      <c r="S32" s="214" t="str">
        <f t="shared" si="9"/>
        <v/>
      </c>
      <c r="T32" s="214" t="str">
        <f t="shared" si="10"/>
        <v/>
      </c>
      <c r="U32" s="214" t="str">
        <f t="shared" si="11"/>
        <v/>
      </c>
      <c r="V32" s="214" t="str">
        <f t="shared" si="12"/>
        <v/>
      </c>
      <c r="W32" s="214" t="str">
        <f t="shared" si="13"/>
        <v/>
      </c>
      <c r="X32" s="214">
        <f t="shared" si="14"/>
        <v>1</v>
      </c>
      <c r="Y32" s="210"/>
      <c r="Z32" s="210"/>
      <c r="AA32" s="210"/>
      <c r="AB32" s="205"/>
      <c r="AC32" s="205"/>
      <c r="AD32" s="205"/>
    </row>
    <row r="33" spans="2:30" ht="30" customHeight="1" thickBot="1" x14ac:dyDescent="0.35">
      <c r="B33" s="231">
        <f>'Students Names and ID'!B25</f>
        <v>0</v>
      </c>
      <c r="C33" s="232">
        <f>'Students Names and ID'!C25</f>
        <v>0</v>
      </c>
      <c r="D33" s="263">
        <f>SUM(Project!N28,Homework!X28,Quizzes!S28,Laboratory!R28)</f>
        <v>0</v>
      </c>
      <c r="E33" s="264">
        <f>'Midterm 1'!AH29</f>
        <v>0</v>
      </c>
      <c r="F33" s="264">
        <f>'Midterm 2'!AJ29</f>
        <v>0</v>
      </c>
      <c r="G33" s="264">
        <f t="shared" si="1"/>
        <v>0</v>
      </c>
      <c r="H33" s="264">
        <f>'Final Exam'!AI28</f>
        <v>0</v>
      </c>
      <c r="I33" s="264">
        <f>'Incomplete Final'!AI28</f>
        <v>0</v>
      </c>
      <c r="J33" s="233">
        <f t="shared" si="0"/>
        <v>0</v>
      </c>
      <c r="K33" s="230" t="str">
        <f t="shared" si="2"/>
        <v>F</v>
      </c>
      <c r="L33" s="210"/>
      <c r="M33" s="215" t="str">
        <f t="shared" si="3"/>
        <v/>
      </c>
      <c r="N33" s="214" t="str">
        <f t="shared" si="4"/>
        <v/>
      </c>
      <c r="O33" s="214" t="str">
        <f t="shared" si="5"/>
        <v/>
      </c>
      <c r="P33" s="214" t="str">
        <f t="shared" si="6"/>
        <v/>
      </c>
      <c r="Q33" s="214" t="str">
        <f t="shared" si="7"/>
        <v/>
      </c>
      <c r="R33" s="214" t="str">
        <f t="shared" si="8"/>
        <v/>
      </c>
      <c r="S33" s="214" t="str">
        <f t="shared" si="9"/>
        <v/>
      </c>
      <c r="T33" s="214" t="str">
        <f t="shared" si="10"/>
        <v/>
      </c>
      <c r="U33" s="214" t="str">
        <f t="shared" si="11"/>
        <v/>
      </c>
      <c r="V33" s="214" t="str">
        <f t="shared" si="12"/>
        <v/>
      </c>
      <c r="W33" s="214" t="str">
        <f t="shared" si="13"/>
        <v/>
      </c>
      <c r="X33" s="214">
        <f t="shared" si="14"/>
        <v>1</v>
      </c>
      <c r="Y33" s="210"/>
      <c r="Z33" s="210"/>
      <c r="AA33" s="210"/>
      <c r="AB33" s="205"/>
      <c r="AC33" s="205"/>
      <c r="AD33" s="205"/>
    </row>
    <row r="34" spans="2:30" ht="30" customHeight="1" thickBot="1" x14ac:dyDescent="0.35">
      <c r="B34" s="231">
        <f>'Students Names and ID'!B26</f>
        <v>0</v>
      </c>
      <c r="C34" s="232">
        <f>'Students Names and ID'!C26</f>
        <v>0</v>
      </c>
      <c r="D34" s="263">
        <f>SUM(Project!N29,Homework!X29,Quizzes!S29,Laboratory!R29)</f>
        <v>0</v>
      </c>
      <c r="E34" s="264">
        <f>'Midterm 1'!AH30</f>
        <v>0</v>
      </c>
      <c r="F34" s="264">
        <f>'Midterm 2'!AJ30</f>
        <v>0</v>
      </c>
      <c r="G34" s="264">
        <f t="shared" si="1"/>
        <v>0</v>
      </c>
      <c r="H34" s="264">
        <f>'Final Exam'!AI29</f>
        <v>0</v>
      </c>
      <c r="I34" s="264">
        <f>'Incomplete Final'!AI29</f>
        <v>0</v>
      </c>
      <c r="J34" s="233">
        <f t="shared" si="0"/>
        <v>0</v>
      </c>
      <c r="K34" s="230" t="str">
        <f t="shared" si="2"/>
        <v>F</v>
      </c>
      <c r="L34" s="210"/>
      <c r="M34" s="215" t="str">
        <f t="shared" si="3"/>
        <v/>
      </c>
      <c r="N34" s="214" t="str">
        <f t="shared" si="4"/>
        <v/>
      </c>
      <c r="O34" s="214" t="str">
        <f t="shared" si="5"/>
        <v/>
      </c>
      <c r="P34" s="214" t="str">
        <f t="shared" si="6"/>
        <v/>
      </c>
      <c r="Q34" s="214" t="str">
        <f t="shared" si="7"/>
        <v/>
      </c>
      <c r="R34" s="214" t="str">
        <f t="shared" si="8"/>
        <v/>
      </c>
      <c r="S34" s="214" t="str">
        <f t="shared" si="9"/>
        <v/>
      </c>
      <c r="T34" s="214" t="str">
        <f t="shared" si="10"/>
        <v/>
      </c>
      <c r="U34" s="214" t="str">
        <f t="shared" si="11"/>
        <v/>
      </c>
      <c r="V34" s="214" t="str">
        <f t="shared" si="12"/>
        <v/>
      </c>
      <c r="W34" s="214" t="str">
        <f t="shared" si="13"/>
        <v/>
      </c>
      <c r="X34" s="214">
        <f t="shared" si="14"/>
        <v>1</v>
      </c>
      <c r="Y34" s="210"/>
      <c r="Z34" s="210"/>
      <c r="AA34" s="210"/>
      <c r="AB34" s="205"/>
      <c r="AC34" s="205"/>
      <c r="AD34" s="205"/>
    </row>
    <row r="35" spans="2:30" ht="30" customHeight="1" thickBot="1" x14ac:dyDescent="0.35">
      <c r="B35" s="231">
        <f>'Students Names and ID'!B27</f>
        <v>0</v>
      </c>
      <c r="C35" s="232">
        <f>'Students Names and ID'!C27</f>
        <v>0</v>
      </c>
      <c r="D35" s="263">
        <f>SUM(Project!N30,Homework!X30,Quizzes!S30,Laboratory!R30)</f>
        <v>0</v>
      </c>
      <c r="E35" s="264">
        <f>'Midterm 1'!AH31</f>
        <v>0</v>
      </c>
      <c r="F35" s="264">
        <f>'Midterm 2'!AJ31</f>
        <v>0</v>
      </c>
      <c r="G35" s="264">
        <f t="shared" si="1"/>
        <v>0</v>
      </c>
      <c r="H35" s="264">
        <f>'Final Exam'!AI30</f>
        <v>0</v>
      </c>
      <c r="I35" s="264">
        <f>'Incomplete Final'!AI30</f>
        <v>0</v>
      </c>
      <c r="J35" s="233">
        <f t="shared" si="0"/>
        <v>0</v>
      </c>
      <c r="K35" s="230" t="str">
        <f t="shared" si="2"/>
        <v>F</v>
      </c>
      <c r="L35" s="210"/>
      <c r="M35" s="215" t="str">
        <f t="shared" si="3"/>
        <v/>
      </c>
      <c r="N35" s="214" t="str">
        <f t="shared" si="4"/>
        <v/>
      </c>
      <c r="O35" s="214" t="str">
        <f t="shared" si="5"/>
        <v/>
      </c>
      <c r="P35" s="214" t="str">
        <f t="shared" si="6"/>
        <v/>
      </c>
      <c r="Q35" s="214" t="str">
        <f t="shared" si="7"/>
        <v/>
      </c>
      <c r="R35" s="214" t="str">
        <f t="shared" si="8"/>
        <v/>
      </c>
      <c r="S35" s="214" t="str">
        <f t="shared" si="9"/>
        <v/>
      </c>
      <c r="T35" s="214" t="str">
        <f t="shared" si="10"/>
        <v/>
      </c>
      <c r="U35" s="214" t="str">
        <f t="shared" si="11"/>
        <v/>
      </c>
      <c r="V35" s="214" t="str">
        <f t="shared" si="12"/>
        <v/>
      </c>
      <c r="W35" s="214" t="str">
        <f t="shared" si="13"/>
        <v/>
      </c>
      <c r="X35" s="214">
        <f t="shared" si="14"/>
        <v>1</v>
      </c>
      <c r="Y35" s="210"/>
      <c r="Z35" s="210"/>
      <c r="AA35" s="210"/>
      <c r="AB35" s="205"/>
      <c r="AC35" s="205"/>
      <c r="AD35" s="205"/>
    </row>
    <row r="36" spans="2:30" ht="30" customHeight="1" thickBot="1" x14ac:dyDescent="0.35">
      <c r="B36" s="231">
        <f>'Students Names and ID'!B28</f>
        <v>0</v>
      </c>
      <c r="C36" s="232">
        <f>'Students Names and ID'!C28</f>
        <v>0</v>
      </c>
      <c r="D36" s="263">
        <f>SUM(Project!N31,Homework!X31,Quizzes!S31,Laboratory!R31)</f>
        <v>0</v>
      </c>
      <c r="E36" s="264">
        <f>'Midterm 1'!AH32</f>
        <v>0</v>
      </c>
      <c r="F36" s="264">
        <f>'Midterm 2'!AJ32</f>
        <v>0</v>
      </c>
      <c r="G36" s="264">
        <f t="shared" si="1"/>
        <v>0</v>
      </c>
      <c r="H36" s="264">
        <f>'Final Exam'!AI31</f>
        <v>0</v>
      </c>
      <c r="I36" s="264">
        <f>'Incomplete Final'!AI31</f>
        <v>0</v>
      </c>
      <c r="J36" s="233">
        <f t="shared" si="0"/>
        <v>0</v>
      </c>
      <c r="K36" s="230" t="str">
        <f t="shared" si="2"/>
        <v>F</v>
      </c>
      <c r="L36" s="210"/>
      <c r="M36" s="215" t="str">
        <f t="shared" si="3"/>
        <v/>
      </c>
      <c r="N36" s="214" t="str">
        <f t="shared" si="4"/>
        <v/>
      </c>
      <c r="O36" s="214" t="str">
        <f t="shared" si="5"/>
        <v/>
      </c>
      <c r="P36" s="214" t="str">
        <f t="shared" si="6"/>
        <v/>
      </c>
      <c r="Q36" s="214" t="str">
        <f t="shared" si="7"/>
        <v/>
      </c>
      <c r="R36" s="214" t="str">
        <f t="shared" si="8"/>
        <v/>
      </c>
      <c r="S36" s="214" t="str">
        <f t="shared" si="9"/>
        <v/>
      </c>
      <c r="T36" s="214" t="str">
        <f t="shared" si="10"/>
        <v/>
      </c>
      <c r="U36" s="214" t="str">
        <f t="shared" si="11"/>
        <v/>
      </c>
      <c r="V36" s="214" t="str">
        <f t="shared" si="12"/>
        <v/>
      </c>
      <c r="W36" s="214" t="str">
        <f t="shared" si="13"/>
        <v/>
      </c>
      <c r="X36" s="214">
        <f t="shared" si="14"/>
        <v>1</v>
      </c>
      <c r="Y36" s="210"/>
      <c r="Z36" s="210"/>
      <c r="AA36" s="210"/>
      <c r="AB36" s="205"/>
      <c r="AC36" s="205"/>
      <c r="AD36" s="205"/>
    </row>
    <row r="37" spans="2:30" ht="30" customHeight="1" thickBot="1" x14ac:dyDescent="0.35">
      <c r="B37" s="231">
        <f>'Students Names and ID'!B29</f>
        <v>0</v>
      </c>
      <c r="C37" s="232">
        <f>'Students Names and ID'!C29</f>
        <v>0</v>
      </c>
      <c r="D37" s="263">
        <f>SUM(Project!N32,Homework!X32,Quizzes!S32,Laboratory!R32)</f>
        <v>0</v>
      </c>
      <c r="E37" s="264">
        <f>'Midterm 1'!AH33</f>
        <v>0</v>
      </c>
      <c r="F37" s="264">
        <f>'Midterm 2'!AJ33</f>
        <v>0</v>
      </c>
      <c r="G37" s="264">
        <f t="shared" si="1"/>
        <v>0</v>
      </c>
      <c r="H37" s="264">
        <f>'Final Exam'!AI32</f>
        <v>0</v>
      </c>
      <c r="I37" s="264">
        <f>'Incomplete Final'!AI32</f>
        <v>0</v>
      </c>
      <c r="J37" s="233">
        <f t="shared" si="0"/>
        <v>0</v>
      </c>
      <c r="K37" s="230" t="str">
        <f t="shared" si="2"/>
        <v>F</v>
      </c>
      <c r="L37" s="210"/>
      <c r="M37" s="215" t="str">
        <f t="shared" si="3"/>
        <v/>
      </c>
      <c r="N37" s="214" t="str">
        <f t="shared" si="4"/>
        <v/>
      </c>
      <c r="O37" s="214" t="str">
        <f t="shared" si="5"/>
        <v/>
      </c>
      <c r="P37" s="214" t="str">
        <f t="shared" si="6"/>
        <v/>
      </c>
      <c r="Q37" s="214" t="str">
        <f t="shared" si="7"/>
        <v/>
      </c>
      <c r="R37" s="214" t="str">
        <f t="shared" si="8"/>
        <v/>
      </c>
      <c r="S37" s="214" t="str">
        <f t="shared" si="9"/>
        <v/>
      </c>
      <c r="T37" s="214" t="str">
        <f t="shared" si="10"/>
        <v/>
      </c>
      <c r="U37" s="214" t="str">
        <f t="shared" si="11"/>
        <v/>
      </c>
      <c r="V37" s="214" t="str">
        <f t="shared" si="12"/>
        <v/>
      </c>
      <c r="W37" s="214" t="str">
        <f t="shared" si="13"/>
        <v/>
      </c>
      <c r="X37" s="214">
        <f t="shared" si="14"/>
        <v>1</v>
      </c>
      <c r="Y37" s="210"/>
      <c r="Z37" s="210"/>
      <c r="AA37" s="210"/>
      <c r="AB37" s="205"/>
      <c r="AC37" s="205"/>
      <c r="AD37" s="205"/>
    </row>
    <row r="38" spans="2:30" ht="30" customHeight="1" thickBot="1" x14ac:dyDescent="0.35">
      <c r="B38" s="231">
        <f>'Students Names and ID'!B30</f>
        <v>0</v>
      </c>
      <c r="C38" s="232">
        <f>'Students Names and ID'!C30</f>
        <v>0</v>
      </c>
      <c r="D38" s="263">
        <f>SUM(Project!N33,Homework!X33,Quizzes!S33,Laboratory!R33)</f>
        <v>0</v>
      </c>
      <c r="E38" s="264">
        <f>'Midterm 1'!AH34</f>
        <v>0</v>
      </c>
      <c r="F38" s="264">
        <f>'Midterm 2'!AJ34</f>
        <v>0</v>
      </c>
      <c r="G38" s="264">
        <f t="shared" si="1"/>
        <v>0</v>
      </c>
      <c r="H38" s="264">
        <f>'Final Exam'!AI33</f>
        <v>0</v>
      </c>
      <c r="I38" s="264">
        <f>'Incomplete Final'!AI33</f>
        <v>0</v>
      </c>
      <c r="J38" s="233">
        <f t="shared" si="0"/>
        <v>0</v>
      </c>
      <c r="K38" s="230" t="str">
        <f t="shared" si="2"/>
        <v>F</v>
      </c>
      <c r="L38" s="210"/>
      <c r="M38" s="215" t="str">
        <f t="shared" si="3"/>
        <v/>
      </c>
      <c r="N38" s="214" t="str">
        <f t="shared" si="4"/>
        <v/>
      </c>
      <c r="O38" s="214" t="str">
        <f t="shared" si="5"/>
        <v/>
      </c>
      <c r="P38" s="214" t="str">
        <f t="shared" si="6"/>
        <v/>
      </c>
      <c r="Q38" s="214" t="str">
        <f t="shared" si="7"/>
        <v/>
      </c>
      <c r="R38" s="214" t="str">
        <f t="shared" si="8"/>
        <v/>
      </c>
      <c r="S38" s="214" t="str">
        <f t="shared" si="9"/>
        <v/>
      </c>
      <c r="T38" s="214" t="str">
        <f t="shared" si="10"/>
        <v/>
      </c>
      <c r="U38" s="214" t="str">
        <f t="shared" si="11"/>
        <v/>
      </c>
      <c r="V38" s="214" t="str">
        <f t="shared" si="12"/>
        <v/>
      </c>
      <c r="W38" s="214" t="str">
        <f t="shared" si="13"/>
        <v/>
      </c>
      <c r="X38" s="214">
        <f t="shared" si="14"/>
        <v>1</v>
      </c>
      <c r="Y38" s="210"/>
      <c r="Z38" s="210"/>
      <c r="AA38" s="210"/>
      <c r="AB38" s="205"/>
      <c r="AC38" s="205"/>
      <c r="AD38" s="205"/>
    </row>
    <row r="39" spans="2:30" ht="30" customHeight="1" thickBot="1" x14ac:dyDescent="0.35">
      <c r="B39" s="231">
        <f>'Students Names and ID'!B31</f>
        <v>0</v>
      </c>
      <c r="C39" s="232">
        <f>'Students Names and ID'!C31</f>
        <v>0</v>
      </c>
      <c r="D39" s="263">
        <f>SUM(Project!N34,Homework!X34,Quizzes!S34,Laboratory!R34)</f>
        <v>0</v>
      </c>
      <c r="E39" s="264">
        <f>'Midterm 1'!AH35</f>
        <v>0</v>
      </c>
      <c r="F39" s="264">
        <f>'Midterm 2'!AJ35</f>
        <v>0</v>
      </c>
      <c r="G39" s="264">
        <f t="shared" si="1"/>
        <v>0</v>
      </c>
      <c r="H39" s="264">
        <f>'Final Exam'!AI34</f>
        <v>0</v>
      </c>
      <c r="I39" s="264">
        <f>'Incomplete Final'!AI34</f>
        <v>0</v>
      </c>
      <c r="J39" s="233">
        <f t="shared" si="0"/>
        <v>0</v>
      </c>
      <c r="K39" s="230" t="str">
        <f t="shared" si="2"/>
        <v>F</v>
      </c>
      <c r="L39" s="210"/>
      <c r="M39" s="215" t="str">
        <f t="shared" si="3"/>
        <v/>
      </c>
      <c r="N39" s="214" t="str">
        <f t="shared" si="4"/>
        <v/>
      </c>
      <c r="O39" s="214" t="str">
        <f t="shared" si="5"/>
        <v/>
      </c>
      <c r="P39" s="214" t="str">
        <f t="shared" si="6"/>
        <v/>
      </c>
      <c r="Q39" s="214" t="str">
        <f t="shared" si="7"/>
        <v/>
      </c>
      <c r="R39" s="214" t="str">
        <f t="shared" si="8"/>
        <v/>
      </c>
      <c r="S39" s="214" t="str">
        <f t="shared" si="9"/>
        <v/>
      </c>
      <c r="T39" s="214" t="str">
        <f t="shared" si="10"/>
        <v/>
      </c>
      <c r="U39" s="214" t="str">
        <f t="shared" si="11"/>
        <v/>
      </c>
      <c r="V39" s="214" t="str">
        <f t="shared" si="12"/>
        <v/>
      </c>
      <c r="W39" s="214" t="str">
        <f t="shared" si="13"/>
        <v/>
      </c>
      <c r="X39" s="214">
        <f t="shared" si="14"/>
        <v>1</v>
      </c>
      <c r="Y39" s="210"/>
      <c r="Z39" s="210"/>
      <c r="AA39" s="210"/>
      <c r="AB39" s="205"/>
      <c r="AC39" s="205"/>
      <c r="AD39" s="205"/>
    </row>
    <row r="40" spans="2:30" ht="24.95" customHeight="1" thickBot="1" x14ac:dyDescent="0.35">
      <c r="B40" s="231">
        <f>'Students Names and ID'!B32</f>
        <v>0</v>
      </c>
      <c r="C40" s="232">
        <f>'Students Names and ID'!C32</f>
        <v>0</v>
      </c>
      <c r="D40" s="263">
        <f>SUM(Project!N35,Homework!X35,Quizzes!S35,Laboratory!R35)</f>
        <v>0</v>
      </c>
      <c r="E40" s="264">
        <f>'Midterm 1'!AH36</f>
        <v>0</v>
      </c>
      <c r="F40" s="264">
        <f>'Midterm 2'!AJ36</f>
        <v>0</v>
      </c>
      <c r="G40" s="264">
        <f t="shared" si="1"/>
        <v>0</v>
      </c>
      <c r="H40" s="264">
        <f>'Final Exam'!AI35</f>
        <v>0</v>
      </c>
      <c r="I40" s="264">
        <f>'Incomplete Final'!AI35</f>
        <v>0</v>
      </c>
      <c r="J40" s="233">
        <f t="shared" si="0"/>
        <v>0</v>
      </c>
      <c r="K40" s="230" t="str">
        <f t="shared" si="2"/>
        <v>F</v>
      </c>
      <c r="L40" s="210"/>
      <c r="M40" s="215" t="str">
        <f t="shared" si="3"/>
        <v/>
      </c>
      <c r="N40" s="214" t="str">
        <f t="shared" si="4"/>
        <v/>
      </c>
      <c r="O40" s="214" t="str">
        <f t="shared" si="5"/>
        <v/>
      </c>
      <c r="P40" s="214" t="str">
        <f t="shared" si="6"/>
        <v/>
      </c>
      <c r="Q40" s="214" t="str">
        <f t="shared" si="7"/>
        <v/>
      </c>
      <c r="R40" s="214" t="str">
        <f t="shared" si="8"/>
        <v/>
      </c>
      <c r="S40" s="214" t="str">
        <f t="shared" si="9"/>
        <v/>
      </c>
      <c r="T40" s="214" t="str">
        <f t="shared" si="10"/>
        <v/>
      </c>
      <c r="U40" s="214" t="str">
        <f t="shared" si="11"/>
        <v/>
      </c>
      <c r="V40" s="214" t="str">
        <f t="shared" si="12"/>
        <v/>
      </c>
      <c r="W40" s="214" t="str">
        <f t="shared" si="13"/>
        <v/>
      </c>
      <c r="X40" s="214">
        <f t="shared" si="14"/>
        <v>1</v>
      </c>
      <c r="Y40" s="210"/>
      <c r="Z40" s="210"/>
      <c r="AA40" s="210"/>
      <c r="AB40" s="205"/>
      <c r="AC40" s="205"/>
      <c r="AD40" s="205"/>
    </row>
    <row r="41" spans="2:30" ht="24.95" customHeight="1" thickBot="1" x14ac:dyDescent="0.35">
      <c r="B41" s="231">
        <f>'Students Names and ID'!B33</f>
        <v>0</v>
      </c>
      <c r="C41" s="232">
        <f>'Students Names and ID'!C33</f>
        <v>0</v>
      </c>
      <c r="D41" s="263">
        <f>SUM(Project!N36,Homework!X36,Quizzes!S36,Laboratory!R36)</f>
        <v>0</v>
      </c>
      <c r="E41" s="264">
        <f>'Midterm 1'!AH37</f>
        <v>0</v>
      </c>
      <c r="F41" s="264">
        <f>'Midterm 2'!AJ37</f>
        <v>0</v>
      </c>
      <c r="G41" s="264">
        <f t="shared" si="1"/>
        <v>0</v>
      </c>
      <c r="H41" s="264">
        <f>'Final Exam'!AI36</f>
        <v>0</v>
      </c>
      <c r="I41" s="264">
        <f>'Incomplete Final'!AI36</f>
        <v>0</v>
      </c>
      <c r="J41" s="233">
        <f t="shared" si="0"/>
        <v>0</v>
      </c>
      <c r="K41" s="230" t="str">
        <f t="shared" si="2"/>
        <v>F</v>
      </c>
      <c r="L41" s="210"/>
      <c r="M41" s="215" t="str">
        <f t="shared" si="3"/>
        <v/>
      </c>
      <c r="N41" s="214" t="str">
        <f t="shared" si="4"/>
        <v/>
      </c>
      <c r="O41" s="214" t="str">
        <f t="shared" si="5"/>
        <v/>
      </c>
      <c r="P41" s="214" t="str">
        <f t="shared" si="6"/>
        <v/>
      </c>
      <c r="Q41" s="214" t="str">
        <f t="shared" si="7"/>
        <v/>
      </c>
      <c r="R41" s="214" t="str">
        <f t="shared" si="8"/>
        <v/>
      </c>
      <c r="S41" s="214" t="str">
        <f t="shared" si="9"/>
        <v/>
      </c>
      <c r="T41" s="214" t="str">
        <f t="shared" si="10"/>
        <v/>
      </c>
      <c r="U41" s="214" t="str">
        <f t="shared" si="11"/>
        <v/>
      </c>
      <c r="V41" s="214" t="str">
        <f t="shared" si="12"/>
        <v/>
      </c>
      <c r="W41" s="214" t="str">
        <f t="shared" si="13"/>
        <v/>
      </c>
      <c r="X41" s="214">
        <f t="shared" si="14"/>
        <v>1</v>
      </c>
      <c r="Y41" s="210"/>
      <c r="Z41" s="210"/>
      <c r="AA41" s="210"/>
      <c r="AB41" s="205"/>
      <c r="AC41" s="205"/>
      <c r="AD41" s="205"/>
    </row>
    <row r="42" spans="2:30" ht="24.95" customHeight="1" thickBot="1" x14ac:dyDescent="0.35">
      <c r="B42" s="231">
        <f>'Students Names and ID'!B34</f>
        <v>0</v>
      </c>
      <c r="C42" s="232">
        <f>'Students Names and ID'!C34</f>
        <v>0</v>
      </c>
      <c r="D42" s="263">
        <f>SUM(Project!N37,Homework!X37,Quizzes!S37,Laboratory!R37)</f>
        <v>0</v>
      </c>
      <c r="E42" s="264">
        <f>'Midterm 1'!AH38</f>
        <v>0</v>
      </c>
      <c r="F42" s="264">
        <f>'Midterm 2'!AJ38</f>
        <v>0</v>
      </c>
      <c r="G42" s="264">
        <f t="shared" si="1"/>
        <v>0</v>
      </c>
      <c r="H42" s="264">
        <f>'Final Exam'!AI37</f>
        <v>0</v>
      </c>
      <c r="I42" s="264">
        <f>'Incomplete Final'!AI37</f>
        <v>0</v>
      </c>
      <c r="J42" s="233">
        <f t="shared" si="0"/>
        <v>0</v>
      </c>
      <c r="K42" s="230" t="str">
        <f t="shared" si="2"/>
        <v>F</v>
      </c>
      <c r="L42" s="210"/>
      <c r="M42" s="215" t="str">
        <f t="shared" si="3"/>
        <v/>
      </c>
      <c r="N42" s="214" t="str">
        <f t="shared" si="4"/>
        <v/>
      </c>
      <c r="O42" s="214" t="str">
        <f t="shared" si="5"/>
        <v/>
      </c>
      <c r="P42" s="214" t="str">
        <f t="shared" si="6"/>
        <v/>
      </c>
      <c r="Q42" s="214" t="str">
        <f t="shared" si="7"/>
        <v/>
      </c>
      <c r="R42" s="214" t="str">
        <f t="shared" si="8"/>
        <v/>
      </c>
      <c r="S42" s="214" t="str">
        <f t="shared" si="9"/>
        <v/>
      </c>
      <c r="T42" s="214" t="str">
        <f t="shared" si="10"/>
        <v/>
      </c>
      <c r="U42" s="214" t="str">
        <f t="shared" si="11"/>
        <v/>
      </c>
      <c r="V42" s="214" t="str">
        <f t="shared" si="12"/>
        <v/>
      </c>
      <c r="W42" s="214" t="str">
        <f t="shared" si="13"/>
        <v/>
      </c>
      <c r="X42" s="214">
        <f t="shared" si="14"/>
        <v>1</v>
      </c>
      <c r="Y42" s="210"/>
      <c r="Z42" s="210"/>
      <c r="AA42" s="210"/>
      <c r="AB42" s="205"/>
      <c r="AC42" s="205"/>
      <c r="AD42" s="205"/>
    </row>
    <row r="43" spans="2:30" ht="24.95" customHeight="1" thickBot="1" x14ac:dyDescent="0.35">
      <c r="B43" s="231">
        <f>'Students Names and ID'!B35</f>
        <v>0</v>
      </c>
      <c r="C43" s="232">
        <f>'Students Names and ID'!C35</f>
        <v>0</v>
      </c>
      <c r="D43" s="263">
        <f>SUM(Project!N38,Homework!X38,Quizzes!S38,Laboratory!R38)</f>
        <v>0</v>
      </c>
      <c r="E43" s="264">
        <f>'Midterm 1'!AH39</f>
        <v>0</v>
      </c>
      <c r="F43" s="264">
        <f>'Midterm 2'!AJ39</f>
        <v>0</v>
      </c>
      <c r="G43" s="264">
        <f t="shared" si="1"/>
        <v>0</v>
      </c>
      <c r="H43" s="264">
        <f>'Final Exam'!AI38</f>
        <v>0</v>
      </c>
      <c r="I43" s="264">
        <f>'Incomplete Final'!AI38</f>
        <v>0</v>
      </c>
      <c r="J43" s="233">
        <f t="shared" si="0"/>
        <v>0</v>
      </c>
      <c r="K43" s="230" t="str">
        <f t="shared" si="2"/>
        <v>F</v>
      </c>
      <c r="L43" s="210"/>
      <c r="M43" s="215" t="str">
        <f t="shared" si="3"/>
        <v/>
      </c>
      <c r="N43" s="214" t="str">
        <f t="shared" si="4"/>
        <v/>
      </c>
      <c r="O43" s="214" t="str">
        <f t="shared" si="5"/>
        <v/>
      </c>
      <c r="P43" s="214" t="str">
        <f t="shared" si="6"/>
        <v/>
      </c>
      <c r="Q43" s="214" t="str">
        <f t="shared" si="7"/>
        <v/>
      </c>
      <c r="R43" s="214" t="str">
        <f t="shared" si="8"/>
        <v/>
      </c>
      <c r="S43" s="214" t="str">
        <f t="shared" si="9"/>
        <v/>
      </c>
      <c r="T43" s="214" t="str">
        <f t="shared" si="10"/>
        <v/>
      </c>
      <c r="U43" s="214" t="str">
        <f t="shared" si="11"/>
        <v/>
      </c>
      <c r="V43" s="214" t="str">
        <f t="shared" si="12"/>
        <v/>
      </c>
      <c r="W43" s="214" t="str">
        <f t="shared" si="13"/>
        <v/>
      </c>
      <c r="X43" s="214">
        <f t="shared" si="14"/>
        <v>1</v>
      </c>
      <c r="Y43" s="210"/>
      <c r="Z43" s="210"/>
      <c r="AA43" s="210"/>
      <c r="AB43" s="205"/>
      <c r="AC43" s="205"/>
      <c r="AD43" s="205"/>
    </row>
    <row r="44" spans="2:30" ht="24.95" customHeight="1" thickBot="1" x14ac:dyDescent="0.35">
      <c r="B44" s="231">
        <f>'Students Names and ID'!B36</f>
        <v>0</v>
      </c>
      <c r="C44" s="232">
        <f>'Students Names and ID'!C36</f>
        <v>0</v>
      </c>
      <c r="D44" s="263">
        <f>SUM(Project!N39,Homework!X39,Quizzes!S39,Laboratory!R39)</f>
        <v>0</v>
      </c>
      <c r="E44" s="264">
        <f>'Midterm 1'!AH40</f>
        <v>0</v>
      </c>
      <c r="F44" s="264">
        <f>'Midterm 2'!AJ40</f>
        <v>0</v>
      </c>
      <c r="G44" s="264">
        <f t="shared" si="1"/>
        <v>0</v>
      </c>
      <c r="H44" s="264">
        <f>'Final Exam'!AI39</f>
        <v>0</v>
      </c>
      <c r="I44" s="264">
        <f>'Incomplete Final'!AI39</f>
        <v>0</v>
      </c>
      <c r="J44" s="233">
        <f t="shared" si="0"/>
        <v>0</v>
      </c>
      <c r="K44" s="230" t="str">
        <f t="shared" si="2"/>
        <v>F</v>
      </c>
      <c r="L44" s="210"/>
      <c r="M44" s="215" t="str">
        <f t="shared" si="3"/>
        <v/>
      </c>
      <c r="N44" s="214" t="str">
        <f t="shared" si="4"/>
        <v/>
      </c>
      <c r="O44" s="214" t="str">
        <f t="shared" si="5"/>
        <v/>
      </c>
      <c r="P44" s="214" t="str">
        <f t="shared" si="6"/>
        <v/>
      </c>
      <c r="Q44" s="214" t="str">
        <f t="shared" si="7"/>
        <v/>
      </c>
      <c r="R44" s="214" t="str">
        <f t="shared" si="8"/>
        <v/>
      </c>
      <c r="S44" s="214" t="str">
        <f t="shared" si="9"/>
        <v/>
      </c>
      <c r="T44" s="214" t="str">
        <f t="shared" si="10"/>
        <v/>
      </c>
      <c r="U44" s="214" t="str">
        <f t="shared" si="11"/>
        <v/>
      </c>
      <c r="V44" s="214" t="str">
        <f t="shared" si="12"/>
        <v/>
      </c>
      <c r="W44" s="214" t="str">
        <f t="shared" si="13"/>
        <v/>
      </c>
      <c r="X44" s="214">
        <f t="shared" si="14"/>
        <v>1</v>
      </c>
      <c r="Y44" s="210"/>
      <c r="Z44" s="210"/>
      <c r="AA44" s="210"/>
      <c r="AB44" s="205"/>
      <c r="AC44" s="205"/>
      <c r="AD44" s="205"/>
    </row>
    <row r="45" spans="2:30" ht="24.95" customHeight="1" thickBot="1" x14ac:dyDescent="0.35">
      <c r="B45" s="231">
        <f>'Students Names and ID'!B37</f>
        <v>0</v>
      </c>
      <c r="C45" s="232">
        <f>'Students Names and ID'!C37</f>
        <v>0</v>
      </c>
      <c r="D45" s="263">
        <f>SUM(Project!N40,Homework!X40,Quizzes!S40,Laboratory!R40)</f>
        <v>0</v>
      </c>
      <c r="E45" s="264">
        <f>'Midterm 1'!AH41</f>
        <v>0</v>
      </c>
      <c r="F45" s="264">
        <f>'Midterm 2'!AJ41</f>
        <v>0</v>
      </c>
      <c r="G45" s="264">
        <f t="shared" si="1"/>
        <v>0</v>
      </c>
      <c r="H45" s="264">
        <f>'Final Exam'!AI40</f>
        <v>0</v>
      </c>
      <c r="I45" s="264">
        <f>'Incomplete Final'!AI40</f>
        <v>0</v>
      </c>
      <c r="J45" s="233">
        <f t="shared" si="0"/>
        <v>0</v>
      </c>
      <c r="K45" s="230" t="str">
        <f t="shared" si="2"/>
        <v>F</v>
      </c>
      <c r="L45" s="210"/>
      <c r="M45" s="215" t="str">
        <f t="shared" si="3"/>
        <v/>
      </c>
      <c r="N45" s="214" t="str">
        <f t="shared" si="4"/>
        <v/>
      </c>
      <c r="O45" s="214" t="str">
        <f t="shared" si="5"/>
        <v/>
      </c>
      <c r="P45" s="214" t="str">
        <f t="shared" si="6"/>
        <v/>
      </c>
      <c r="Q45" s="214" t="str">
        <f t="shared" si="7"/>
        <v/>
      </c>
      <c r="R45" s="214" t="str">
        <f t="shared" si="8"/>
        <v/>
      </c>
      <c r="S45" s="214" t="str">
        <f t="shared" si="9"/>
        <v/>
      </c>
      <c r="T45" s="214" t="str">
        <f t="shared" si="10"/>
        <v/>
      </c>
      <c r="U45" s="214" t="str">
        <f t="shared" si="11"/>
        <v/>
      </c>
      <c r="V45" s="214" t="str">
        <f t="shared" si="12"/>
        <v/>
      </c>
      <c r="W45" s="214" t="str">
        <f t="shared" si="13"/>
        <v/>
      </c>
      <c r="X45" s="214">
        <f t="shared" si="14"/>
        <v>1</v>
      </c>
      <c r="Y45" s="210"/>
      <c r="Z45" s="210"/>
      <c r="AA45" s="210"/>
      <c r="AB45" s="205"/>
      <c r="AC45" s="205"/>
      <c r="AD45" s="205"/>
    </row>
    <row r="46" spans="2:30" ht="24.95" customHeight="1" thickBot="1" x14ac:dyDescent="0.35">
      <c r="B46" s="231">
        <f>'Students Names and ID'!B38</f>
        <v>0</v>
      </c>
      <c r="C46" s="232">
        <f>'Students Names and ID'!C38</f>
        <v>0</v>
      </c>
      <c r="D46" s="263">
        <f>SUM(Project!N41,Homework!X41,Quizzes!S41,Laboratory!R41)</f>
        <v>0</v>
      </c>
      <c r="E46" s="264">
        <f>'Midterm 1'!AH42</f>
        <v>0</v>
      </c>
      <c r="F46" s="264">
        <f>'Midterm 2'!AJ42</f>
        <v>0</v>
      </c>
      <c r="G46" s="264">
        <f t="shared" si="1"/>
        <v>0</v>
      </c>
      <c r="H46" s="264">
        <f>'Final Exam'!AI41</f>
        <v>0</v>
      </c>
      <c r="I46" s="264">
        <f>'Incomplete Final'!AI41</f>
        <v>0</v>
      </c>
      <c r="J46" s="233">
        <f t="shared" si="0"/>
        <v>0</v>
      </c>
      <c r="K46" s="230" t="str">
        <f t="shared" si="2"/>
        <v>F</v>
      </c>
      <c r="L46" s="210"/>
      <c r="M46" s="215" t="str">
        <f t="shared" si="3"/>
        <v/>
      </c>
      <c r="N46" s="214" t="str">
        <f t="shared" si="4"/>
        <v/>
      </c>
      <c r="O46" s="214" t="str">
        <f t="shared" si="5"/>
        <v/>
      </c>
      <c r="P46" s="214" t="str">
        <f t="shared" si="6"/>
        <v/>
      </c>
      <c r="Q46" s="214" t="str">
        <f t="shared" si="7"/>
        <v/>
      </c>
      <c r="R46" s="214" t="str">
        <f t="shared" si="8"/>
        <v/>
      </c>
      <c r="S46" s="214" t="str">
        <f t="shared" si="9"/>
        <v/>
      </c>
      <c r="T46" s="214" t="str">
        <f t="shared" si="10"/>
        <v/>
      </c>
      <c r="U46" s="214" t="str">
        <f t="shared" si="11"/>
        <v/>
      </c>
      <c r="V46" s="214" t="str">
        <f t="shared" si="12"/>
        <v/>
      </c>
      <c r="W46" s="214" t="str">
        <f t="shared" si="13"/>
        <v/>
      </c>
      <c r="X46" s="214">
        <f t="shared" si="14"/>
        <v>1</v>
      </c>
      <c r="Y46" s="210"/>
      <c r="Z46" s="210"/>
      <c r="AA46" s="210"/>
      <c r="AB46" s="205"/>
      <c r="AC46" s="205"/>
      <c r="AD46" s="205"/>
    </row>
    <row r="47" spans="2:30" ht="24.95" customHeight="1" thickBot="1" x14ac:dyDescent="0.35">
      <c r="B47" s="231">
        <f>'Students Names and ID'!B39</f>
        <v>0</v>
      </c>
      <c r="C47" s="232">
        <f>'Students Names and ID'!C39</f>
        <v>0</v>
      </c>
      <c r="D47" s="263">
        <f>SUM(Project!N42,Homework!X42,Quizzes!S42,Laboratory!R42)</f>
        <v>0</v>
      </c>
      <c r="E47" s="264">
        <f>'Midterm 1'!AH43</f>
        <v>0</v>
      </c>
      <c r="F47" s="264">
        <f>'Midterm 2'!AJ43</f>
        <v>0</v>
      </c>
      <c r="G47" s="264">
        <f t="shared" si="1"/>
        <v>0</v>
      </c>
      <c r="H47" s="264">
        <f>'Final Exam'!AI42</f>
        <v>0</v>
      </c>
      <c r="I47" s="264">
        <f>'Incomplete Final'!AI42</f>
        <v>0</v>
      </c>
      <c r="J47" s="233">
        <f t="shared" si="0"/>
        <v>0</v>
      </c>
      <c r="K47" s="230" t="str">
        <f t="shared" si="2"/>
        <v>F</v>
      </c>
      <c r="L47" s="210"/>
      <c r="M47" s="215" t="str">
        <f t="shared" si="3"/>
        <v/>
      </c>
      <c r="N47" s="214" t="str">
        <f t="shared" si="4"/>
        <v/>
      </c>
      <c r="O47" s="214" t="str">
        <f t="shared" si="5"/>
        <v/>
      </c>
      <c r="P47" s="214" t="str">
        <f t="shared" si="6"/>
        <v/>
      </c>
      <c r="Q47" s="214" t="str">
        <f t="shared" si="7"/>
        <v/>
      </c>
      <c r="R47" s="214" t="str">
        <f t="shared" si="8"/>
        <v/>
      </c>
      <c r="S47" s="214" t="str">
        <f t="shared" si="9"/>
        <v/>
      </c>
      <c r="T47" s="214" t="str">
        <f t="shared" si="10"/>
        <v/>
      </c>
      <c r="U47" s="214" t="str">
        <f t="shared" si="11"/>
        <v/>
      </c>
      <c r="V47" s="214" t="str">
        <f t="shared" si="12"/>
        <v/>
      </c>
      <c r="W47" s="214" t="str">
        <f t="shared" si="13"/>
        <v/>
      </c>
      <c r="X47" s="214">
        <f t="shared" si="14"/>
        <v>1</v>
      </c>
      <c r="Y47" s="210"/>
      <c r="Z47" s="210"/>
      <c r="AA47" s="210"/>
      <c r="AB47" s="205"/>
      <c r="AC47" s="205"/>
      <c r="AD47" s="205"/>
    </row>
    <row r="48" spans="2:30" ht="24.95" customHeight="1" thickBot="1" x14ac:dyDescent="0.35">
      <c r="B48" s="231">
        <f>'Students Names and ID'!B40</f>
        <v>0</v>
      </c>
      <c r="C48" s="232">
        <f>'Students Names and ID'!C40</f>
        <v>0</v>
      </c>
      <c r="D48" s="263">
        <f>SUM(Project!N43,Homework!X43,Quizzes!S43,Laboratory!R43)</f>
        <v>0</v>
      </c>
      <c r="E48" s="264">
        <f>'Midterm 1'!AH44</f>
        <v>0</v>
      </c>
      <c r="F48" s="264">
        <f>'Midterm 2'!AJ44</f>
        <v>0</v>
      </c>
      <c r="G48" s="264">
        <f t="shared" si="1"/>
        <v>0</v>
      </c>
      <c r="H48" s="264">
        <f>'Final Exam'!AI43</f>
        <v>0</v>
      </c>
      <c r="I48" s="264">
        <f>'Incomplete Final'!AI43</f>
        <v>0</v>
      </c>
      <c r="J48" s="233">
        <f t="shared" si="0"/>
        <v>0</v>
      </c>
      <c r="K48" s="230" t="str">
        <f t="shared" si="2"/>
        <v>F</v>
      </c>
      <c r="L48" s="210"/>
      <c r="M48" s="215" t="str">
        <f t="shared" si="3"/>
        <v/>
      </c>
      <c r="N48" s="214" t="str">
        <f t="shared" si="4"/>
        <v/>
      </c>
      <c r="O48" s="214" t="str">
        <f t="shared" si="5"/>
        <v/>
      </c>
      <c r="P48" s="214" t="str">
        <f t="shared" si="6"/>
        <v/>
      </c>
      <c r="Q48" s="214" t="str">
        <f t="shared" si="7"/>
        <v/>
      </c>
      <c r="R48" s="214" t="str">
        <f t="shared" si="8"/>
        <v/>
      </c>
      <c r="S48" s="214" t="str">
        <f t="shared" si="9"/>
        <v/>
      </c>
      <c r="T48" s="214" t="str">
        <f t="shared" si="10"/>
        <v/>
      </c>
      <c r="U48" s="214" t="str">
        <f t="shared" si="11"/>
        <v/>
      </c>
      <c r="V48" s="214" t="str">
        <f t="shared" si="12"/>
        <v/>
      </c>
      <c r="W48" s="214" t="str">
        <f t="shared" si="13"/>
        <v/>
      </c>
      <c r="X48" s="214">
        <f t="shared" si="14"/>
        <v>1</v>
      </c>
      <c r="Y48" s="210"/>
      <c r="Z48" s="210"/>
      <c r="AA48" s="210"/>
      <c r="AB48" s="205"/>
      <c r="AC48" s="205"/>
      <c r="AD48" s="205"/>
    </row>
    <row r="49" spans="2:30" ht="24.95" customHeight="1" thickBot="1" x14ac:dyDescent="0.35">
      <c r="B49" s="234">
        <f>'Students Names and ID'!B41</f>
        <v>0</v>
      </c>
      <c r="C49" s="235">
        <f>'Students Names and ID'!C41</f>
        <v>0</v>
      </c>
      <c r="D49" s="265">
        <f>SUM(Project!N44,Homework!X44,Quizzes!S44,Laboratory!R44)</f>
        <v>0</v>
      </c>
      <c r="E49" s="266">
        <f>'Midterm 1'!AH45</f>
        <v>0</v>
      </c>
      <c r="F49" s="266">
        <f>'Midterm 2'!AJ45</f>
        <v>0</v>
      </c>
      <c r="G49" s="266">
        <f t="shared" si="1"/>
        <v>0</v>
      </c>
      <c r="H49" s="266">
        <f>'Final Exam'!AI44</f>
        <v>0</v>
      </c>
      <c r="I49" s="266">
        <f>'Incomplete Final'!AI44</f>
        <v>0</v>
      </c>
      <c r="J49" s="242">
        <f t="shared" si="0"/>
        <v>0</v>
      </c>
      <c r="K49" s="243" t="str">
        <f t="shared" si="2"/>
        <v>F</v>
      </c>
      <c r="L49" s="210"/>
      <c r="M49" s="215" t="str">
        <f t="shared" si="3"/>
        <v/>
      </c>
      <c r="N49" s="214" t="str">
        <f t="shared" si="4"/>
        <v/>
      </c>
      <c r="O49" s="214" t="str">
        <f t="shared" si="5"/>
        <v/>
      </c>
      <c r="P49" s="214" t="str">
        <f t="shared" si="6"/>
        <v/>
      </c>
      <c r="Q49" s="214" t="str">
        <f t="shared" si="7"/>
        <v/>
      </c>
      <c r="R49" s="214" t="str">
        <f t="shared" si="8"/>
        <v/>
      </c>
      <c r="S49" s="214" t="str">
        <f t="shared" si="9"/>
        <v/>
      </c>
      <c r="T49" s="214" t="str">
        <f t="shared" si="10"/>
        <v/>
      </c>
      <c r="U49" s="214" t="str">
        <f t="shared" si="11"/>
        <v/>
      </c>
      <c r="V49" s="214" t="str">
        <f t="shared" si="12"/>
        <v/>
      </c>
      <c r="W49" s="214" t="str">
        <f t="shared" si="13"/>
        <v/>
      </c>
      <c r="X49" s="214">
        <f t="shared" si="14"/>
        <v>1</v>
      </c>
      <c r="Y49" s="210"/>
      <c r="Z49" s="210"/>
      <c r="AA49" s="210"/>
      <c r="AB49" s="205"/>
      <c r="AC49" s="205"/>
      <c r="AD49" s="205"/>
    </row>
    <row r="50" spans="2:30" ht="42" customHeight="1" thickBot="1" x14ac:dyDescent="0.35">
      <c r="B50" s="206"/>
      <c r="C50" s="228" t="s">
        <v>37</v>
      </c>
      <c r="D50" s="267">
        <f t="shared" ref="D50:J50" si="15">IF(ISERROR(AVERAGE(D10:D49))," ",AVERAGE(D10:D49))</f>
        <v>0</v>
      </c>
      <c r="E50" s="267">
        <f t="shared" si="15"/>
        <v>0</v>
      </c>
      <c r="F50" s="267">
        <f t="shared" si="15"/>
        <v>0</v>
      </c>
      <c r="G50" s="267">
        <f t="shared" si="15"/>
        <v>0</v>
      </c>
      <c r="H50" s="267">
        <f t="shared" si="15"/>
        <v>0</v>
      </c>
      <c r="I50" s="267">
        <f t="shared" si="15"/>
        <v>0</v>
      </c>
      <c r="J50" s="268">
        <f t="shared" si="15"/>
        <v>0</v>
      </c>
      <c r="K50" s="206"/>
      <c r="L50" s="210"/>
      <c r="M50" s="216">
        <f>SUM(M10:M49)</f>
        <v>0</v>
      </c>
      <c r="N50" s="216">
        <f t="shared" ref="N50:X50" si="16">SUM(N10:N49)</f>
        <v>0</v>
      </c>
      <c r="O50" s="216">
        <f t="shared" si="16"/>
        <v>0</v>
      </c>
      <c r="P50" s="216">
        <f t="shared" si="16"/>
        <v>0</v>
      </c>
      <c r="Q50" s="216">
        <f t="shared" si="16"/>
        <v>0</v>
      </c>
      <c r="R50" s="216">
        <f t="shared" si="16"/>
        <v>0</v>
      </c>
      <c r="S50" s="216">
        <f t="shared" si="16"/>
        <v>0</v>
      </c>
      <c r="T50" s="216">
        <f t="shared" si="16"/>
        <v>0</v>
      </c>
      <c r="U50" s="216">
        <f t="shared" si="16"/>
        <v>0</v>
      </c>
      <c r="V50" s="216">
        <f t="shared" si="16"/>
        <v>0</v>
      </c>
      <c r="W50" s="216">
        <f t="shared" si="16"/>
        <v>0</v>
      </c>
      <c r="X50" s="216">
        <f t="shared" si="16"/>
        <v>40</v>
      </c>
      <c r="Y50" s="210"/>
      <c r="Z50" s="210"/>
      <c r="AA50" s="210"/>
      <c r="AB50" s="205"/>
      <c r="AC50" s="205"/>
      <c r="AD50" s="205"/>
    </row>
    <row r="51" spans="2:30" ht="30" customHeight="1" x14ac:dyDescent="0.3">
      <c r="B51" s="206"/>
      <c r="C51" s="226"/>
      <c r="D51" s="227"/>
      <c r="E51" s="227"/>
      <c r="F51" s="227"/>
      <c r="G51" s="227"/>
      <c r="H51" s="227"/>
      <c r="I51" s="227"/>
      <c r="J51" s="227"/>
      <c r="K51" s="206"/>
      <c r="L51" s="210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0"/>
      <c r="Z51" s="210"/>
      <c r="AA51" s="210"/>
      <c r="AB51" s="205"/>
      <c r="AC51" s="205"/>
      <c r="AD51" s="205"/>
    </row>
    <row r="52" spans="2:30" s="197" customFormat="1" ht="30.75" customHeight="1" x14ac:dyDescent="0.3">
      <c r="B52" s="201"/>
      <c r="C52" s="202"/>
      <c r="D52" s="203"/>
      <c r="E52" s="203"/>
      <c r="F52" s="203"/>
      <c r="G52" s="203"/>
      <c r="H52" s="203"/>
      <c r="I52" s="203"/>
      <c r="J52" s="203"/>
      <c r="K52" s="201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</row>
    <row r="53" spans="2:30" s="197" customFormat="1" ht="22.5" customHeight="1" x14ac:dyDescent="0.3">
      <c r="C53" s="198"/>
      <c r="D53" s="199"/>
      <c r="E53" s="199"/>
      <c r="F53" s="199"/>
      <c r="G53" s="199"/>
      <c r="H53" s="199"/>
      <c r="I53" s="199"/>
      <c r="J53" s="199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</row>
    <row r="54" spans="2:30" s="197" customFormat="1" ht="3" customHeight="1" thickBot="1" x14ac:dyDescent="0.35">
      <c r="C54" s="198"/>
      <c r="D54" s="199"/>
      <c r="E54" s="199"/>
      <c r="F54" s="199"/>
      <c r="G54" s="199"/>
      <c r="H54" s="199"/>
      <c r="I54" s="199"/>
      <c r="J54" s="199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</row>
    <row r="55" spans="2:30" s="197" customFormat="1" ht="42" customHeight="1" thickBot="1" x14ac:dyDescent="0.35">
      <c r="B55" s="610" t="s">
        <v>153</v>
      </c>
      <c r="C55" s="611"/>
      <c r="D55" s="246" t="s">
        <v>264</v>
      </c>
      <c r="E55" s="258" t="s">
        <v>262</v>
      </c>
      <c r="F55" s="199"/>
      <c r="G55" s="199"/>
      <c r="H55" s="199"/>
      <c r="I55" s="199"/>
      <c r="J55" s="199"/>
      <c r="Z55" s="200"/>
      <c r="AA55" s="200"/>
    </row>
    <row r="56" spans="2:30" s="197" customFormat="1" ht="28.5" customHeight="1" x14ac:dyDescent="0.45">
      <c r="B56" s="247" t="s">
        <v>154</v>
      </c>
      <c r="C56" s="248">
        <v>0</v>
      </c>
      <c r="D56" s="255">
        <f>X50</f>
        <v>40</v>
      </c>
      <c r="E56" s="259" t="e">
        <f>D56/'Course Information'!C6</f>
        <v>#DIV/0!</v>
      </c>
      <c r="F56" s="199"/>
      <c r="G56" s="199"/>
      <c r="H56" s="199"/>
      <c r="I56" s="199"/>
      <c r="J56" s="199"/>
      <c r="Z56" s="200"/>
      <c r="AA56" s="200"/>
    </row>
    <row r="57" spans="2:30" s="197" customFormat="1" ht="30" customHeight="1" x14ac:dyDescent="0.45">
      <c r="B57" s="244" t="s">
        <v>148</v>
      </c>
      <c r="C57" s="249">
        <v>59.5</v>
      </c>
      <c r="D57" s="255">
        <f>W50</f>
        <v>0</v>
      </c>
      <c r="E57" s="259" t="e">
        <f>D57/'Course Information'!C6</f>
        <v>#DIV/0!</v>
      </c>
      <c r="F57" s="199"/>
      <c r="G57" s="199"/>
      <c r="H57" s="199"/>
      <c r="I57" s="199"/>
      <c r="J57" s="199"/>
      <c r="Z57" s="200"/>
      <c r="AA57" s="200"/>
    </row>
    <row r="58" spans="2:30" s="197" customFormat="1" ht="30" customHeight="1" x14ac:dyDescent="0.45">
      <c r="B58" s="245" t="s">
        <v>263</v>
      </c>
      <c r="C58" s="250">
        <v>62.5</v>
      </c>
      <c r="D58" s="256">
        <f>V50</f>
        <v>0</v>
      </c>
      <c r="E58" s="259" t="e">
        <f>D58/'Course Information'!C6</f>
        <v>#DIV/0!</v>
      </c>
      <c r="G58" s="199"/>
      <c r="H58" s="199"/>
      <c r="I58" s="199"/>
      <c r="J58" s="199"/>
      <c r="Z58" s="200"/>
      <c r="AA58" s="200"/>
    </row>
    <row r="59" spans="2:30" s="197" customFormat="1" ht="30" customHeight="1" x14ac:dyDescent="0.45">
      <c r="B59" s="245" t="s">
        <v>338</v>
      </c>
      <c r="C59" s="250">
        <v>66.5</v>
      </c>
      <c r="D59" s="256">
        <f>U50</f>
        <v>0</v>
      </c>
      <c r="E59" s="259" t="e">
        <f>D59/'Course Information'!C6</f>
        <v>#DIV/0!</v>
      </c>
      <c r="G59" s="199"/>
      <c r="H59" s="199"/>
      <c r="I59" s="199"/>
      <c r="J59" s="199"/>
      <c r="Z59" s="200"/>
      <c r="AA59" s="200"/>
    </row>
    <row r="60" spans="2:30" s="197" customFormat="1" ht="30" customHeight="1" x14ac:dyDescent="0.45">
      <c r="B60" s="245" t="s">
        <v>139</v>
      </c>
      <c r="C60" s="250">
        <v>69.5</v>
      </c>
      <c r="D60" s="256">
        <f>T50</f>
        <v>0</v>
      </c>
      <c r="E60" s="259" t="e">
        <f>D60/'Course Information'!C6</f>
        <v>#DIV/0!</v>
      </c>
      <c r="G60" s="199"/>
      <c r="H60" s="199"/>
      <c r="I60" s="199"/>
      <c r="J60" s="199"/>
      <c r="Z60" s="200"/>
      <c r="AA60" s="200"/>
    </row>
    <row r="61" spans="2:30" s="197" customFormat="1" ht="30" customHeight="1" x14ac:dyDescent="0.45">
      <c r="B61" s="245" t="s">
        <v>137</v>
      </c>
      <c r="C61" s="250">
        <v>73.5</v>
      </c>
      <c r="D61" s="256">
        <f>S50</f>
        <v>0</v>
      </c>
      <c r="E61" s="259" t="e">
        <f>D61/'Course Information'!C6</f>
        <v>#DIV/0!</v>
      </c>
      <c r="G61" s="199"/>
      <c r="H61" s="199"/>
      <c r="I61" s="199"/>
      <c r="J61" s="199"/>
      <c r="Z61" s="200"/>
      <c r="AA61" s="200"/>
    </row>
    <row r="62" spans="2:30" s="197" customFormat="1" ht="30" customHeight="1" x14ac:dyDescent="0.45">
      <c r="B62" s="245" t="s">
        <v>337</v>
      </c>
      <c r="C62" s="250">
        <v>76.5</v>
      </c>
      <c r="D62" s="256">
        <f>R50</f>
        <v>0</v>
      </c>
      <c r="E62" s="259" t="e">
        <f>D62/'Course Information'!C6</f>
        <v>#DIV/0!</v>
      </c>
      <c r="G62" s="199"/>
      <c r="H62" s="199"/>
      <c r="I62" s="199"/>
      <c r="J62" s="199"/>
      <c r="Z62" s="200"/>
      <c r="AA62" s="200"/>
    </row>
    <row r="63" spans="2:30" s="197" customFormat="1" ht="30" customHeight="1" x14ac:dyDescent="0.45">
      <c r="B63" s="245" t="s">
        <v>138</v>
      </c>
      <c r="C63" s="250">
        <v>79.5</v>
      </c>
      <c r="D63" s="256">
        <f>Q50</f>
        <v>0</v>
      </c>
      <c r="E63" s="259" t="e">
        <f>D63/'Course Information'!C6</f>
        <v>#DIV/0!</v>
      </c>
      <c r="G63" s="199"/>
      <c r="H63" s="199"/>
      <c r="I63" s="199"/>
      <c r="J63" s="199"/>
      <c r="Z63" s="200"/>
      <c r="AA63" s="200"/>
    </row>
    <row r="64" spans="2:30" s="197" customFormat="1" ht="30" customHeight="1" x14ac:dyDescent="0.45">
      <c r="B64" s="245" t="s">
        <v>135</v>
      </c>
      <c r="C64" s="250">
        <v>83.5</v>
      </c>
      <c r="D64" s="256">
        <f>P50</f>
        <v>0</v>
      </c>
      <c r="E64" s="259" t="e">
        <f>D64/'Course Information'!C6</f>
        <v>#DIV/0!</v>
      </c>
      <c r="G64" s="199"/>
      <c r="H64" s="199"/>
      <c r="I64" s="199"/>
      <c r="J64" s="199"/>
      <c r="Z64" s="200"/>
      <c r="AA64" s="200"/>
    </row>
    <row r="65" spans="2:25" ht="30" customHeight="1" x14ac:dyDescent="0.45">
      <c r="B65" s="245" t="s">
        <v>336</v>
      </c>
      <c r="C65" s="250">
        <v>86.5</v>
      </c>
      <c r="D65" s="256">
        <f>O50</f>
        <v>0</v>
      </c>
      <c r="E65" s="259" t="e">
        <f>D65/'Course Information'!C6</f>
        <v>#DIV/0!</v>
      </c>
      <c r="G65" s="197"/>
      <c r="H65" s="197"/>
      <c r="I65" s="197"/>
      <c r="J65" s="197"/>
      <c r="K65" s="197"/>
      <c r="L65" s="197"/>
      <c r="M65" s="197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</row>
    <row r="66" spans="2:25" ht="30" customHeight="1" x14ac:dyDescent="0.45">
      <c r="B66" s="245" t="s">
        <v>136</v>
      </c>
      <c r="C66" s="250">
        <v>89.5</v>
      </c>
      <c r="D66" s="256">
        <f>N50</f>
        <v>0</v>
      </c>
      <c r="E66" s="259" t="e">
        <f>D66/'Course Information'!C6</f>
        <v>#DIV/0!</v>
      </c>
      <c r="G66" s="197"/>
      <c r="H66" s="197"/>
      <c r="I66" s="197"/>
      <c r="J66" s="197"/>
      <c r="K66" s="197"/>
      <c r="L66" s="197"/>
      <c r="M66" s="197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</row>
    <row r="67" spans="2:25" ht="30" customHeight="1" thickBot="1" x14ac:dyDescent="0.5">
      <c r="B67" s="251" t="s">
        <v>335</v>
      </c>
      <c r="C67" s="252">
        <v>94.5</v>
      </c>
      <c r="D67" s="257">
        <f>M50</f>
        <v>0</v>
      </c>
      <c r="E67" s="260" t="e">
        <f>D67/'Course Information'!C6</f>
        <v>#DIV/0!</v>
      </c>
      <c r="G67" s="197"/>
      <c r="H67" s="197"/>
      <c r="I67" s="197"/>
      <c r="J67" s="197"/>
      <c r="K67" s="197"/>
      <c r="L67" s="197"/>
      <c r="M67" s="197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</row>
    <row r="68" spans="2:25" ht="30" customHeight="1" thickBot="1" x14ac:dyDescent="0.35">
      <c r="B68" s="613" t="s">
        <v>265</v>
      </c>
      <c r="C68" s="614"/>
      <c r="D68" s="253">
        <f>SUM(D56:D67)</f>
        <v>40</v>
      </c>
      <c r="E68" s="254" t="e">
        <f>SUM(E56:E67)</f>
        <v>#DIV/0!</v>
      </c>
      <c r="G68" s="197"/>
      <c r="H68" s="197"/>
      <c r="I68" s="197"/>
      <c r="J68" s="197"/>
      <c r="K68" s="197"/>
      <c r="L68" s="197"/>
      <c r="M68" s="197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</row>
    <row r="69" spans="2:25" ht="30" customHeight="1" x14ac:dyDescent="0.3">
      <c r="B69" s="236"/>
      <c r="C69" s="236"/>
      <c r="D69" s="236"/>
      <c r="E69" s="236"/>
      <c r="F69" s="236"/>
      <c r="G69" s="237"/>
      <c r="H69" s="237"/>
      <c r="I69" s="237"/>
      <c r="J69" s="237"/>
      <c r="K69" s="237"/>
      <c r="L69" s="197"/>
      <c r="M69" s="197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</row>
    <row r="70" spans="2:25" ht="30" customHeight="1" x14ac:dyDescent="0.3">
      <c r="B70" s="236"/>
      <c r="C70" s="236"/>
      <c r="D70" s="236"/>
      <c r="E70" s="236"/>
      <c r="F70" s="236"/>
      <c r="G70" s="237"/>
      <c r="H70" s="237"/>
      <c r="I70" s="237"/>
      <c r="J70" s="237"/>
      <c r="K70" s="237"/>
      <c r="L70" s="197"/>
      <c r="M70" s="197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</row>
    <row r="71" spans="2:25" ht="31.5" x14ac:dyDescent="0.5">
      <c r="B71" s="239" t="s">
        <v>259</v>
      </c>
      <c r="C71" s="615">
        <f>'Course Information'!C4</f>
        <v>0</v>
      </c>
      <c r="D71" s="615"/>
      <c r="E71" s="615"/>
      <c r="F71" s="239"/>
      <c r="G71" s="239" t="s">
        <v>282</v>
      </c>
      <c r="H71" s="239"/>
      <c r="I71" s="239"/>
      <c r="J71" s="239"/>
      <c r="K71" s="240"/>
      <c r="L71"/>
      <c r="M71"/>
      <c r="N71" s="204"/>
      <c r="O71" s="204"/>
    </row>
    <row r="72" spans="2:25" ht="36.75" customHeight="1" x14ac:dyDescent="0.5"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/>
      <c r="M72"/>
      <c r="N72" s="204"/>
      <c r="O72" s="204"/>
    </row>
    <row r="73" spans="2:25" ht="36.75" customHeight="1" x14ac:dyDescent="0.5">
      <c r="B73" s="239" t="s">
        <v>292</v>
      </c>
      <c r="C73" s="609" t="s">
        <v>340</v>
      </c>
      <c r="D73" s="609"/>
      <c r="E73" s="609"/>
      <c r="F73" s="239"/>
      <c r="G73" s="239" t="s">
        <v>285</v>
      </c>
      <c r="H73" s="239"/>
      <c r="I73" s="239"/>
      <c r="J73" s="239"/>
      <c r="K73" s="240"/>
      <c r="L73"/>
      <c r="M73"/>
      <c r="N73" s="204"/>
      <c r="O73" s="204"/>
    </row>
    <row r="74" spans="2:25" ht="24" customHeight="1" x14ac:dyDescent="0.4">
      <c r="B74" s="238"/>
      <c r="C74" s="238"/>
      <c r="D74" s="238"/>
      <c r="E74" s="238"/>
      <c r="F74" s="238"/>
      <c r="G74" s="238"/>
      <c r="H74" s="238"/>
      <c r="I74" s="238"/>
      <c r="J74" s="238"/>
      <c r="K74" s="238"/>
    </row>
  </sheetData>
  <mergeCells count="10">
    <mergeCell ref="J1:K1"/>
    <mergeCell ref="I5:J5"/>
    <mergeCell ref="C73:E73"/>
    <mergeCell ref="B55:C55"/>
    <mergeCell ref="C5:E5"/>
    <mergeCell ref="B68:C68"/>
    <mergeCell ref="C71:E71"/>
    <mergeCell ref="B2:K2"/>
    <mergeCell ref="B3:K3"/>
    <mergeCell ref="B4:K4"/>
  </mergeCells>
  <printOptions horizontalCentered="1"/>
  <pageMargins left="0.25" right="0.25" top="0.75" bottom="0.75" header="0.3" footer="0.3"/>
  <pageSetup paperSize="9" scale="26" fitToHeight="0" orientation="portrait" horizontalDpi="300" verticalDpi="30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43"/>
  <sheetViews>
    <sheetView workbookViewId="0">
      <selection activeCell="H3" sqref="H3:I21"/>
    </sheetView>
  </sheetViews>
  <sheetFormatPr defaultRowHeight="15" x14ac:dyDescent="0.25"/>
  <cols>
    <col min="1" max="1" width="38" customWidth="1"/>
    <col min="2" max="2" width="22.5703125" customWidth="1"/>
    <col min="3" max="3" width="21.7109375" customWidth="1"/>
    <col min="4" max="4" width="18.140625" customWidth="1"/>
    <col min="5" max="5" width="17.5703125" customWidth="1"/>
    <col min="6" max="6" width="16.7109375" customWidth="1"/>
    <col min="7" max="7" width="18.28515625" customWidth="1"/>
    <col min="8" max="8" width="18.42578125" customWidth="1"/>
  </cols>
  <sheetData>
    <row r="1" spans="1:12" x14ac:dyDescent="0.25">
      <c r="C1" s="24" t="s">
        <v>134</v>
      </c>
      <c r="D1" s="24" t="s">
        <v>105</v>
      </c>
      <c r="E1" s="24" t="s">
        <v>106</v>
      </c>
      <c r="F1" s="24" t="s">
        <v>40</v>
      </c>
      <c r="G1" s="24" t="s">
        <v>101</v>
      </c>
      <c r="H1" s="24" t="s">
        <v>102</v>
      </c>
      <c r="I1" s="104" t="s">
        <v>151</v>
      </c>
    </row>
    <row r="2" spans="1:12" x14ac:dyDescent="0.25">
      <c r="A2" s="4" t="s">
        <v>1</v>
      </c>
      <c r="B2" s="4" t="s">
        <v>0</v>
      </c>
      <c r="C2" s="23"/>
      <c r="D2" s="23"/>
      <c r="E2" s="23"/>
      <c r="F2" s="23"/>
      <c r="G2" s="23"/>
      <c r="H2" s="23"/>
      <c r="I2" s="5" t="s">
        <v>152</v>
      </c>
      <c r="K2" s="618" t="s">
        <v>153</v>
      </c>
      <c r="L2" s="619"/>
    </row>
    <row r="3" spans="1:12" x14ac:dyDescent="0.25">
      <c r="A3" s="8">
        <f>'Students Names and ID'!B2</f>
        <v>0</v>
      </c>
      <c r="B3" s="8">
        <f>'Students Names and ID'!C2</f>
        <v>0</v>
      </c>
      <c r="C3" s="7"/>
      <c r="D3" s="7"/>
      <c r="E3" s="7"/>
      <c r="F3" s="7"/>
      <c r="G3" s="7"/>
      <c r="H3" s="67"/>
      <c r="I3" s="91"/>
      <c r="J3" s="105"/>
      <c r="K3" s="106" t="s">
        <v>154</v>
      </c>
      <c r="L3" s="107">
        <v>0</v>
      </c>
    </row>
    <row r="4" spans="1:12" x14ac:dyDescent="0.25">
      <c r="A4" s="8">
        <f>'Students Names and ID'!B3</f>
        <v>0</v>
      </c>
      <c r="B4" s="8">
        <f>'Students Names and ID'!C3</f>
        <v>0</v>
      </c>
      <c r="C4" s="7"/>
      <c r="D4" s="7"/>
      <c r="E4" s="7"/>
      <c r="F4" s="7"/>
      <c r="G4" s="7"/>
      <c r="H4" s="67"/>
      <c r="I4" s="91"/>
      <c r="J4" s="105"/>
      <c r="K4" s="106" t="s">
        <v>148</v>
      </c>
      <c r="L4" s="107">
        <v>59.5</v>
      </c>
    </row>
    <row r="5" spans="1:12" x14ac:dyDescent="0.25">
      <c r="A5" s="8">
        <f>'Students Names and ID'!B4</f>
        <v>0</v>
      </c>
      <c r="B5" s="8">
        <f>'Students Names and ID'!C4</f>
        <v>0</v>
      </c>
      <c r="C5" s="7"/>
      <c r="D5" s="7"/>
      <c r="E5" s="7"/>
      <c r="F5" s="7"/>
      <c r="G5" s="7"/>
      <c r="H5" s="67"/>
      <c r="I5" s="91"/>
      <c r="J5" s="105"/>
      <c r="K5" s="106" t="s">
        <v>155</v>
      </c>
      <c r="L5" s="107">
        <v>64.5</v>
      </c>
    </row>
    <row r="6" spans="1:12" x14ac:dyDescent="0.25">
      <c r="A6" s="8">
        <f>'Students Names and ID'!B5</f>
        <v>0</v>
      </c>
      <c r="B6" s="8">
        <f>'Students Names and ID'!C5</f>
        <v>0</v>
      </c>
      <c r="C6" s="7"/>
      <c r="D6" s="7"/>
      <c r="E6" s="7"/>
      <c r="F6" s="7"/>
      <c r="G6" s="7"/>
      <c r="H6" s="67"/>
      <c r="I6" s="91"/>
      <c r="J6" s="105"/>
      <c r="K6" s="106" t="s">
        <v>139</v>
      </c>
      <c r="L6" s="107">
        <v>69.5</v>
      </c>
    </row>
    <row r="7" spans="1:12" x14ac:dyDescent="0.25">
      <c r="A7" s="8">
        <f>'Students Names and ID'!B6</f>
        <v>0</v>
      </c>
      <c r="B7" s="8">
        <f>'Students Names and ID'!C6</f>
        <v>0</v>
      </c>
      <c r="C7" s="7"/>
      <c r="D7" s="7"/>
      <c r="E7" s="7"/>
      <c r="F7" s="7"/>
      <c r="G7" s="7"/>
      <c r="H7" s="67"/>
      <c r="I7" s="91"/>
      <c r="J7" s="105"/>
      <c r="K7" s="106" t="s">
        <v>137</v>
      </c>
      <c r="L7" s="107">
        <v>74.5</v>
      </c>
    </row>
    <row r="8" spans="1:12" x14ac:dyDescent="0.25">
      <c r="A8" s="8">
        <f>'Students Names and ID'!B7</f>
        <v>0</v>
      </c>
      <c r="B8" s="8">
        <f>'Students Names and ID'!C7</f>
        <v>0</v>
      </c>
      <c r="C8" s="7"/>
      <c r="D8" s="7"/>
      <c r="E8" s="7"/>
      <c r="F8" s="7"/>
      <c r="G8" s="7"/>
      <c r="H8" s="67"/>
      <c r="I8" s="91"/>
      <c r="J8" s="105"/>
      <c r="K8" s="106" t="s">
        <v>138</v>
      </c>
      <c r="L8" s="107">
        <v>79.5</v>
      </c>
    </row>
    <row r="9" spans="1:12" x14ac:dyDescent="0.25">
      <c r="A9" s="8">
        <f>'Students Names and ID'!B8</f>
        <v>0</v>
      </c>
      <c r="B9" s="8">
        <f>'Students Names and ID'!C8</f>
        <v>0</v>
      </c>
      <c r="C9" s="7"/>
      <c r="D9" s="7"/>
      <c r="E9" s="7"/>
      <c r="F9" s="7"/>
      <c r="G9" s="7"/>
      <c r="H9" s="67"/>
      <c r="I9" s="91"/>
      <c r="J9" s="105"/>
      <c r="K9" s="106" t="s">
        <v>135</v>
      </c>
      <c r="L9" s="107">
        <v>84.5</v>
      </c>
    </row>
    <row r="10" spans="1:12" x14ac:dyDescent="0.25">
      <c r="A10" s="8">
        <f>'Students Names and ID'!B9</f>
        <v>0</v>
      </c>
      <c r="B10" s="8">
        <f>'Students Names and ID'!C9</f>
        <v>0</v>
      </c>
      <c r="C10" s="7"/>
      <c r="D10" s="7"/>
      <c r="E10" s="7"/>
      <c r="F10" s="7"/>
      <c r="G10" s="7"/>
      <c r="H10" s="67"/>
      <c r="I10" s="91"/>
      <c r="J10" s="105"/>
      <c r="K10" s="106" t="s">
        <v>136</v>
      </c>
      <c r="L10" s="107">
        <v>89.5</v>
      </c>
    </row>
    <row r="11" spans="1:12" x14ac:dyDescent="0.25">
      <c r="A11" s="8">
        <f>'Students Names and ID'!B10</f>
        <v>0</v>
      </c>
      <c r="B11" s="8">
        <f>'Students Names and ID'!C10</f>
        <v>0</v>
      </c>
      <c r="C11" s="7"/>
      <c r="D11" s="7"/>
      <c r="E11" s="7"/>
      <c r="F11" s="7"/>
      <c r="G11" s="7"/>
      <c r="H11" s="67"/>
      <c r="I11" s="91"/>
      <c r="J11" s="105"/>
    </row>
    <row r="12" spans="1:12" x14ac:dyDescent="0.25">
      <c r="A12" s="8">
        <f>'Students Names and ID'!B11</f>
        <v>0</v>
      </c>
      <c r="B12" s="8">
        <f>'Students Names and ID'!C11</f>
        <v>0</v>
      </c>
      <c r="C12" s="7"/>
      <c r="D12" s="7"/>
      <c r="E12" s="7"/>
      <c r="F12" s="7"/>
      <c r="G12" s="7"/>
      <c r="H12" s="67"/>
      <c r="I12" s="91"/>
      <c r="J12" s="105"/>
    </row>
    <row r="13" spans="1:12" x14ac:dyDescent="0.25">
      <c r="A13" s="8">
        <f>'Students Names and ID'!B12</f>
        <v>0</v>
      </c>
      <c r="B13" s="8">
        <f>'Students Names and ID'!C12</f>
        <v>0</v>
      </c>
      <c r="C13" s="7"/>
      <c r="D13" s="7"/>
      <c r="E13" s="7"/>
      <c r="F13" s="7"/>
      <c r="G13" s="7"/>
      <c r="H13" s="67"/>
      <c r="I13" s="91"/>
      <c r="J13" s="105"/>
    </row>
    <row r="14" spans="1:12" x14ac:dyDescent="0.25">
      <c r="A14" s="8">
        <f>'Students Names and ID'!B13</f>
        <v>0</v>
      </c>
      <c r="B14" s="8">
        <f>'Students Names and ID'!C13</f>
        <v>0</v>
      </c>
      <c r="C14" s="7"/>
      <c r="D14" s="7"/>
      <c r="E14" s="7"/>
      <c r="F14" s="7"/>
      <c r="G14" s="7"/>
      <c r="H14" s="67"/>
      <c r="I14" s="91"/>
      <c r="J14" s="105"/>
    </row>
    <row r="15" spans="1:12" x14ac:dyDescent="0.25">
      <c r="A15" s="8">
        <f>'Students Names and ID'!B14</f>
        <v>0</v>
      </c>
      <c r="B15" s="8">
        <f>'Students Names and ID'!C14</f>
        <v>0</v>
      </c>
      <c r="C15" s="7"/>
      <c r="D15" s="7"/>
      <c r="E15" s="7"/>
      <c r="F15" s="7"/>
      <c r="G15" s="7"/>
      <c r="H15" s="67"/>
      <c r="I15" s="91"/>
      <c r="J15" s="105"/>
    </row>
    <row r="16" spans="1:12" x14ac:dyDescent="0.25">
      <c r="A16" s="8">
        <f>'Students Names and ID'!B15</f>
        <v>0</v>
      </c>
      <c r="B16" s="8">
        <f>'Students Names and ID'!C15</f>
        <v>0</v>
      </c>
      <c r="C16" s="7"/>
      <c r="D16" s="7"/>
      <c r="E16" s="7"/>
      <c r="F16" s="7"/>
      <c r="G16" s="7"/>
      <c r="H16" s="67"/>
      <c r="I16" s="91"/>
      <c r="J16" s="105"/>
    </row>
    <row r="17" spans="1:9" x14ac:dyDescent="0.25">
      <c r="A17" s="8">
        <f>'Students Names and ID'!B16</f>
        <v>0</v>
      </c>
      <c r="B17" s="8">
        <f>'Students Names and ID'!C16</f>
        <v>0</v>
      </c>
      <c r="C17" s="7"/>
      <c r="D17" s="7"/>
      <c r="E17" s="7"/>
      <c r="F17" s="7"/>
      <c r="G17" s="7"/>
      <c r="H17" s="67"/>
      <c r="I17" s="91"/>
    </row>
    <row r="18" spans="1:9" x14ac:dyDescent="0.25">
      <c r="A18" s="8">
        <f>'Students Names and ID'!B17</f>
        <v>0</v>
      </c>
      <c r="B18" s="8">
        <f>'Students Names and ID'!C17</f>
        <v>0</v>
      </c>
      <c r="C18" s="7"/>
      <c r="D18" s="7"/>
      <c r="E18" s="7"/>
      <c r="F18" s="7"/>
      <c r="G18" s="7"/>
      <c r="H18" s="67"/>
      <c r="I18" s="91"/>
    </row>
    <row r="19" spans="1:9" x14ac:dyDescent="0.25">
      <c r="A19" s="8">
        <f>'Students Names and ID'!B18</f>
        <v>0</v>
      </c>
      <c r="B19" s="8">
        <f>'Students Names and ID'!C18</f>
        <v>0</v>
      </c>
      <c r="C19" s="7"/>
      <c r="D19" s="7"/>
      <c r="E19" s="7"/>
      <c r="F19" s="7"/>
      <c r="G19" s="7"/>
      <c r="H19" s="67"/>
      <c r="I19" s="91"/>
    </row>
    <row r="20" spans="1:9" x14ac:dyDescent="0.25">
      <c r="A20" s="8">
        <f>'Students Names and ID'!B19</f>
        <v>0</v>
      </c>
      <c r="B20" s="8">
        <f>'Students Names and ID'!C19</f>
        <v>0</v>
      </c>
      <c r="C20" s="7"/>
      <c r="D20" s="7"/>
      <c r="E20" s="7"/>
      <c r="F20" s="7"/>
      <c r="G20" s="7"/>
      <c r="H20" s="67"/>
      <c r="I20" s="91"/>
    </row>
    <row r="21" spans="1:9" x14ac:dyDescent="0.25">
      <c r="A21" s="8">
        <f>'Students Names and ID'!B20</f>
        <v>0</v>
      </c>
      <c r="B21" s="8">
        <f>'Students Names and ID'!C20</f>
        <v>0</v>
      </c>
      <c r="C21" s="7"/>
      <c r="D21" s="7"/>
      <c r="E21" s="7"/>
      <c r="F21" s="7"/>
      <c r="G21" s="7"/>
      <c r="H21" s="67"/>
      <c r="I21" s="91"/>
    </row>
    <row r="22" spans="1:9" x14ac:dyDescent="0.25">
      <c r="A22" s="8">
        <f>'Students Names and ID'!B21</f>
        <v>0</v>
      </c>
      <c r="B22" s="8">
        <f>'Students Names and ID'!C21</f>
        <v>0</v>
      </c>
      <c r="C22" s="7"/>
      <c r="D22" s="7"/>
      <c r="E22" s="7"/>
      <c r="F22" s="7"/>
      <c r="G22" s="7"/>
      <c r="H22" s="7"/>
    </row>
    <row r="23" spans="1:9" x14ac:dyDescent="0.25">
      <c r="A23" s="8">
        <f>'Students Names and ID'!B22</f>
        <v>0</v>
      </c>
      <c r="B23" s="8">
        <f>'Students Names and ID'!C22</f>
        <v>0</v>
      </c>
      <c r="C23" s="7"/>
      <c r="D23" s="7"/>
      <c r="E23" s="7"/>
      <c r="F23" s="7"/>
      <c r="G23" s="7"/>
      <c r="H23" s="7"/>
    </row>
    <row r="24" spans="1:9" x14ac:dyDescent="0.25">
      <c r="A24" s="8">
        <f>'Students Names and ID'!B23</f>
        <v>0</v>
      </c>
      <c r="B24" s="8">
        <f>'Students Names and ID'!C23</f>
        <v>0</v>
      </c>
      <c r="C24" s="7"/>
      <c r="D24" s="7"/>
      <c r="E24" s="7"/>
      <c r="F24" s="7"/>
      <c r="G24" s="7"/>
      <c r="H24" s="7"/>
    </row>
    <row r="25" spans="1:9" x14ac:dyDescent="0.25">
      <c r="A25" s="8">
        <f>'Students Names and ID'!B24</f>
        <v>0</v>
      </c>
      <c r="B25" s="8">
        <f>'Students Names and ID'!C24</f>
        <v>0</v>
      </c>
      <c r="C25" s="7"/>
      <c r="D25" s="7"/>
      <c r="E25" s="7"/>
      <c r="F25" s="7"/>
      <c r="G25" s="7"/>
      <c r="H25" s="7"/>
    </row>
    <row r="26" spans="1:9" x14ac:dyDescent="0.25">
      <c r="A26" s="8">
        <f>'Students Names and ID'!B25</f>
        <v>0</v>
      </c>
      <c r="B26" s="8">
        <f>'Students Names and ID'!C25</f>
        <v>0</v>
      </c>
      <c r="C26" s="7"/>
      <c r="D26" s="7"/>
      <c r="E26" s="7"/>
      <c r="F26" s="7"/>
      <c r="G26" s="7"/>
      <c r="H26" s="7"/>
    </row>
    <row r="27" spans="1:9" x14ac:dyDescent="0.25">
      <c r="A27" s="8">
        <f>'Students Names and ID'!B26</f>
        <v>0</v>
      </c>
      <c r="B27" s="8">
        <f>'Students Names and ID'!C26</f>
        <v>0</v>
      </c>
      <c r="C27" s="7"/>
      <c r="D27" s="7"/>
      <c r="E27" s="7"/>
      <c r="F27" s="7"/>
      <c r="G27" s="7"/>
      <c r="H27" s="7"/>
    </row>
    <row r="28" spans="1:9" x14ac:dyDescent="0.25">
      <c r="A28" s="8">
        <f>'Students Names and ID'!B27</f>
        <v>0</v>
      </c>
      <c r="B28" s="8">
        <f>'Students Names and ID'!C27</f>
        <v>0</v>
      </c>
      <c r="C28" s="7"/>
      <c r="D28" s="7"/>
      <c r="E28" s="7"/>
      <c r="F28" s="7"/>
      <c r="G28" s="7"/>
      <c r="H28" s="7"/>
    </row>
    <row r="29" spans="1:9" x14ac:dyDescent="0.25">
      <c r="A29" s="8">
        <f>'Students Names and ID'!B28</f>
        <v>0</v>
      </c>
      <c r="B29" s="8">
        <f>'Students Names and ID'!C28</f>
        <v>0</v>
      </c>
      <c r="C29" s="7"/>
      <c r="D29" s="7"/>
      <c r="E29" s="7"/>
      <c r="F29" s="7"/>
      <c r="G29" s="7"/>
      <c r="H29" s="7"/>
    </row>
    <row r="30" spans="1:9" x14ac:dyDescent="0.25">
      <c r="A30" s="8">
        <f>'Students Names and ID'!B29</f>
        <v>0</v>
      </c>
      <c r="B30" s="8">
        <f>'Students Names and ID'!C29</f>
        <v>0</v>
      </c>
      <c r="C30" s="7"/>
      <c r="D30" s="7"/>
      <c r="E30" s="7"/>
      <c r="F30" s="7"/>
      <c r="G30" s="7"/>
      <c r="H30" s="7"/>
    </row>
    <row r="31" spans="1:9" x14ac:dyDescent="0.25">
      <c r="A31" s="8">
        <f>'Students Names and ID'!B30</f>
        <v>0</v>
      </c>
      <c r="B31" s="8">
        <f>'Students Names and ID'!C30</f>
        <v>0</v>
      </c>
      <c r="C31" s="7"/>
      <c r="D31" s="7"/>
      <c r="E31" s="7"/>
      <c r="F31" s="7"/>
      <c r="G31" s="7"/>
      <c r="H31" s="7"/>
    </row>
    <row r="32" spans="1:9" x14ac:dyDescent="0.25">
      <c r="A32" s="8">
        <f>'Students Names and ID'!B31</f>
        <v>0</v>
      </c>
      <c r="B32" s="8">
        <f>'Students Names and ID'!C31</f>
        <v>0</v>
      </c>
      <c r="C32" s="7"/>
      <c r="D32" s="7"/>
      <c r="E32" s="7"/>
      <c r="F32" s="7"/>
      <c r="G32" s="7"/>
      <c r="H32" s="7"/>
    </row>
    <row r="33" spans="1:8" x14ac:dyDescent="0.25">
      <c r="A33" s="8">
        <f>'Students Names and ID'!B32</f>
        <v>0</v>
      </c>
      <c r="B33" s="8">
        <f>'Students Names and ID'!C32</f>
        <v>0</v>
      </c>
      <c r="C33" s="7">
        <f>SUM('Laboratory Final'!N35,Project!N35,Homework!X35,Quizzes!S35,Laboratory!R35)</f>
        <v>0</v>
      </c>
      <c r="D33" s="7"/>
      <c r="E33" s="7"/>
      <c r="F33" s="7">
        <f t="shared" ref="F33:F42" si="0">SUM(C33,D33)</f>
        <v>0</v>
      </c>
      <c r="G33" s="7"/>
      <c r="H33" s="7"/>
    </row>
    <row r="34" spans="1:8" x14ac:dyDescent="0.25">
      <c r="A34" s="8">
        <f>'Students Names and ID'!B33</f>
        <v>0</v>
      </c>
      <c r="B34" s="8">
        <f>'Students Names and ID'!C33</f>
        <v>0</v>
      </c>
      <c r="C34" s="7">
        <f>SUM('Laboratory Final'!N36,Project!N36,Homework!X36,Quizzes!S36,Laboratory!R36)</f>
        <v>0</v>
      </c>
      <c r="D34" s="7"/>
      <c r="E34" s="7"/>
      <c r="F34" s="7">
        <f t="shared" si="0"/>
        <v>0</v>
      </c>
      <c r="G34" s="7"/>
      <c r="H34" s="7"/>
    </row>
    <row r="35" spans="1:8" x14ac:dyDescent="0.25">
      <c r="A35" s="8">
        <f>'Students Names and ID'!B34</f>
        <v>0</v>
      </c>
      <c r="B35" s="8">
        <f>'Students Names and ID'!C34</f>
        <v>0</v>
      </c>
      <c r="C35" s="7">
        <f>SUM('Laboratory Final'!N37,Project!N37,Homework!X37,Quizzes!S37,Laboratory!R37)</f>
        <v>0</v>
      </c>
      <c r="D35" s="7"/>
      <c r="E35" s="7"/>
      <c r="F35" s="7">
        <f t="shared" si="0"/>
        <v>0</v>
      </c>
      <c r="G35" s="7"/>
      <c r="H35" s="7"/>
    </row>
    <row r="36" spans="1:8" x14ac:dyDescent="0.25">
      <c r="A36" s="8">
        <f>'Students Names and ID'!B35</f>
        <v>0</v>
      </c>
      <c r="B36" s="8">
        <f>'Students Names and ID'!C35</f>
        <v>0</v>
      </c>
      <c r="C36" s="7">
        <f>SUM('Laboratory Final'!N38,Project!N38,Homework!X38,Quizzes!S38,Laboratory!R38)</f>
        <v>0</v>
      </c>
      <c r="D36" s="7"/>
      <c r="E36" s="7"/>
      <c r="F36" s="7">
        <f t="shared" si="0"/>
        <v>0</v>
      </c>
      <c r="G36" s="7"/>
      <c r="H36" s="7"/>
    </row>
    <row r="37" spans="1:8" x14ac:dyDescent="0.25">
      <c r="A37" s="8">
        <f>'Students Names and ID'!B36</f>
        <v>0</v>
      </c>
      <c r="B37" s="8">
        <f>'Students Names and ID'!C36</f>
        <v>0</v>
      </c>
      <c r="C37" s="7">
        <f>SUM('Laboratory Final'!N39,Project!N39,Homework!X39,Quizzes!S39,Laboratory!R39)</f>
        <v>0</v>
      </c>
      <c r="D37" s="7"/>
      <c r="E37" s="7"/>
      <c r="F37" s="7">
        <f t="shared" si="0"/>
        <v>0</v>
      </c>
      <c r="G37" s="7"/>
      <c r="H37" s="7"/>
    </row>
    <row r="38" spans="1:8" x14ac:dyDescent="0.25">
      <c r="A38" s="8">
        <f>'Students Names and ID'!B37</f>
        <v>0</v>
      </c>
      <c r="B38" s="8">
        <f>'Students Names and ID'!C37</f>
        <v>0</v>
      </c>
      <c r="C38" s="7">
        <f>SUM('Laboratory Final'!N40,Project!N40,Homework!X40,Quizzes!S40,Laboratory!R40)</f>
        <v>0</v>
      </c>
      <c r="D38" s="7"/>
      <c r="E38" s="7"/>
      <c r="F38" s="7">
        <f t="shared" si="0"/>
        <v>0</v>
      </c>
      <c r="G38" s="7"/>
      <c r="H38" s="7"/>
    </row>
    <row r="39" spans="1:8" x14ac:dyDescent="0.25">
      <c r="A39" s="8">
        <f>'Students Names and ID'!B38</f>
        <v>0</v>
      </c>
      <c r="B39" s="8">
        <f>'Students Names and ID'!C38</f>
        <v>0</v>
      </c>
      <c r="C39" s="7">
        <f>SUM('Laboratory Final'!N41,Project!N41,Homework!X41,Quizzes!S41,Laboratory!R41)</f>
        <v>0</v>
      </c>
      <c r="D39" s="7"/>
      <c r="E39" s="7"/>
      <c r="F39" s="7">
        <f t="shared" si="0"/>
        <v>0</v>
      </c>
      <c r="G39" s="7"/>
      <c r="H39" s="7"/>
    </row>
    <row r="40" spans="1:8" x14ac:dyDescent="0.25">
      <c r="A40" s="8">
        <f>'Students Names and ID'!B39</f>
        <v>0</v>
      </c>
      <c r="B40" s="8">
        <f>'Students Names and ID'!C39</f>
        <v>0</v>
      </c>
      <c r="C40" s="7">
        <f>SUM('Laboratory Final'!N42,Project!N42,Homework!X42,Quizzes!S42,Laboratory!R42)</f>
        <v>0</v>
      </c>
      <c r="D40" s="7"/>
      <c r="E40" s="7"/>
      <c r="F40" s="7">
        <f t="shared" si="0"/>
        <v>0</v>
      </c>
      <c r="G40" s="7"/>
      <c r="H40" s="7"/>
    </row>
    <row r="41" spans="1:8" x14ac:dyDescent="0.25">
      <c r="A41" s="8">
        <f>'Students Names and ID'!B40</f>
        <v>0</v>
      </c>
      <c r="B41" s="8">
        <f>'Students Names and ID'!C40</f>
        <v>0</v>
      </c>
      <c r="C41" s="7">
        <f>SUM('Laboratory Final'!N43,Project!N43,Homework!X43,Quizzes!S43,Laboratory!R43)</f>
        <v>0</v>
      </c>
      <c r="D41" s="7"/>
      <c r="E41" s="7"/>
      <c r="F41" s="7">
        <f t="shared" si="0"/>
        <v>0</v>
      </c>
      <c r="G41" s="7"/>
      <c r="H41" s="7"/>
    </row>
    <row r="42" spans="1:8" x14ac:dyDescent="0.25">
      <c r="A42" s="8">
        <f>'Students Names and ID'!B41</f>
        <v>0</v>
      </c>
      <c r="B42" s="8">
        <f>'Students Names and ID'!C41</f>
        <v>0</v>
      </c>
      <c r="C42" s="7">
        <f>SUM('Laboratory Final'!N44,Project!N44,Homework!X44,Quizzes!S44,Laboratory!R44)</f>
        <v>0</v>
      </c>
      <c r="D42" s="7"/>
      <c r="E42" s="7"/>
      <c r="F42" s="7">
        <f t="shared" si="0"/>
        <v>0</v>
      </c>
      <c r="G42" s="7"/>
      <c r="H42" s="7"/>
    </row>
    <row r="43" spans="1:8" x14ac:dyDescent="0.25">
      <c r="B43" s="3" t="s">
        <v>37</v>
      </c>
      <c r="C43" s="5" t="str">
        <f t="shared" ref="C43:H43" si="1">IF(ISERROR(AVERAGE(C3:C27))," ",AVERAGE(C3:C27))</f>
        <v xml:space="preserve"> </v>
      </c>
      <c r="D43" s="5" t="str">
        <f t="shared" si="1"/>
        <v xml:space="preserve"> </v>
      </c>
      <c r="E43" s="5" t="str">
        <f t="shared" si="1"/>
        <v xml:space="preserve"> </v>
      </c>
      <c r="F43" s="5" t="str">
        <f t="shared" si="1"/>
        <v xml:space="preserve"> </v>
      </c>
      <c r="G43" s="5" t="str">
        <f t="shared" si="1"/>
        <v xml:space="preserve"> </v>
      </c>
      <c r="H43" s="92" t="str">
        <f t="shared" si="1"/>
        <v xml:space="preserve"> </v>
      </c>
    </row>
  </sheetData>
  <mergeCells count="1">
    <mergeCell ref="K2:L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rgb="FFFFFF00"/>
  </sheetPr>
  <dimension ref="A1:P119"/>
  <sheetViews>
    <sheetView zoomScale="90" zoomScaleNormal="90" workbookViewId="0">
      <selection activeCell="R4" sqref="R4"/>
    </sheetView>
  </sheetViews>
  <sheetFormatPr defaultColWidth="9.140625" defaultRowHeight="15" x14ac:dyDescent="0.25"/>
  <cols>
    <col min="1" max="1" width="20.85546875" style="97" customWidth="1"/>
    <col min="2" max="2" width="26.5703125" style="97" customWidth="1"/>
    <col min="3" max="3" width="8" style="97" customWidth="1"/>
    <col min="4" max="4" width="7.5703125" style="97" customWidth="1"/>
    <col min="5" max="5" width="7.42578125" style="97" customWidth="1"/>
    <col min="6" max="8" width="7.140625" style="97" bestFit="1" customWidth="1"/>
    <col min="9" max="9" width="7.140625" style="97" customWidth="1"/>
    <col min="10" max="10" width="7.140625" style="97" bestFit="1" customWidth="1"/>
    <col min="11" max="11" width="7.42578125" style="97" customWidth="1"/>
    <col min="12" max="13" width="7.140625" style="97" bestFit="1" customWidth="1"/>
    <col min="14" max="14" width="7.7109375" style="97" customWidth="1"/>
    <col min="15" max="15" width="10" style="97" customWidth="1"/>
    <col min="16" max="16" width="28.140625" style="103" customWidth="1"/>
    <col min="17" max="16384" width="9.140625" style="97"/>
  </cols>
  <sheetData>
    <row r="1" spans="1:16" ht="30" x14ac:dyDescent="0.25">
      <c r="A1" s="626" t="s">
        <v>437</v>
      </c>
      <c r="B1" s="627"/>
      <c r="C1" s="444">
        <v>5</v>
      </c>
      <c r="D1" s="444">
        <v>5</v>
      </c>
      <c r="E1" s="444">
        <v>5</v>
      </c>
      <c r="F1" s="444">
        <v>5</v>
      </c>
      <c r="G1" s="444">
        <v>5</v>
      </c>
      <c r="H1" s="444">
        <v>5</v>
      </c>
      <c r="I1" s="444">
        <v>5</v>
      </c>
      <c r="J1" s="444">
        <v>5</v>
      </c>
      <c r="K1" s="444">
        <v>5</v>
      </c>
      <c r="L1" s="444">
        <v>5</v>
      </c>
      <c r="M1" s="444">
        <v>5</v>
      </c>
      <c r="N1" s="444">
        <v>5</v>
      </c>
      <c r="P1" s="446" t="s">
        <v>439</v>
      </c>
    </row>
    <row r="2" spans="1:16" x14ac:dyDescent="0.25">
      <c r="A2" s="628"/>
      <c r="B2" s="629"/>
      <c r="C2" s="445" t="s">
        <v>119</v>
      </c>
      <c r="D2" s="445" t="s">
        <v>120</v>
      </c>
      <c r="E2" s="445" t="s">
        <v>121</v>
      </c>
      <c r="F2" s="445" t="s">
        <v>122</v>
      </c>
      <c r="G2" s="445" t="s">
        <v>123</v>
      </c>
      <c r="H2" s="445" t="s">
        <v>124</v>
      </c>
      <c r="I2" s="445" t="s">
        <v>125</v>
      </c>
      <c r="J2" s="445" t="s">
        <v>126</v>
      </c>
      <c r="K2" s="445" t="s">
        <v>127</v>
      </c>
      <c r="L2" s="445" t="s">
        <v>128</v>
      </c>
      <c r="M2" s="445" t="s">
        <v>129</v>
      </c>
      <c r="N2" s="445" t="s">
        <v>130</v>
      </c>
      <c r="P2" s="446"/>
    </row>
    <row r="3" spans="1:16" x14ac:dyDescent="0.25">
      <c r="A3" s="622" t="s">
        <v>431</v>
      </c>
      <c r="B3" s="623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1:16" x14ac:dyDescent="0.25">
      <c r="A4" s="622" t="s">
        <v>432</v>
      </c>
      <c r="B4" s="623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</row>
    <row r="5" spans="1:16" x14ac:dyDescent="0.25">
      <c r="A5" s="622" t="s">
        <v>433</v>
      </c>
      <c r="B5" s="623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pans="1:16" x14ac:dyDescent="0.25">
      <c r="A6" s="622" t="s">
        <v>434</v>
      </c>
      <c r="B6" s="623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spans="1:16" x14ac:dyDescent="0.25">
      <c r="A7" s="622" t="s">
        <v>435</v>
      </c>
      <c r="B7" s="623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</row>
    <row r="8" spans="1:16" ht="15.75" thickBot="1" x14ac:dyDescent="0.3">
      <c r="A8" s="622" t="s">
        <v>438</v>
      </c>
      <c r="B8" s="623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</row>
    <row r="9" spans="1:16" hidden="1" x14ac:dyDescent="0.25">
      <c r="A9" s="143"/>
      <c r="B9" s="143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</row>
    <row r="10" spans="1:16" ht="15.75" hidden="1" customHeight="1" x14ac:dyDescent="0.25">
      <c r="A10" s="143"/>
      <c r="B10" s="143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 spans="1:16" ht="18" hidden="1" customHeight="1" x14ac:dyDescent="0.25">
      <c r="A11" s="143"/>
      <c r="B11" s="143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</row>
    <row r="12" spans="1:16" ht="12.75" hidden="1" customHeight="1" x14ac:dyDescent="0.25">
      <c r="A12" s="143"/>
      <c r="B12" s="143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 spans="1:16" hidden="1" x14ac:dyDescent="0.25">
      <c r="A13" s="143"/>
      <c r="B13" s="143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pans="1:16" hidden="1" x14ac:dyDescent="0.25">
      <c r="A14" s="143"/>
      <c r="B14" s="143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1:16" hidden="1" x14ac:dyDescent="0.25">
      <c r="A15" s="143"/>
      <c r="B15" s="143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1:16" hidden="1" x14ac:dyDescent="0.25">
      <c r="A16" s="143"/>
      <c r="B16" s="143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</row>
    <row r="17" spans="1:14" hidden="1" x14ac:dyDescent="0.25">
      <c r="A17" s="143"/>
      <c r="B17" s="143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</row>
    <row r="18" spans="1:14" hidden="1" x14ac:dyDescent="0.25">
      <c r="A18" s="143"/>
      <c r="B18" s="143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</row>
    <row r="19" spans="1:14" hidden="1" x14ac:dyDescent="0.25">
      <c r="A19" s="143"/>
      <c r="B19" s="143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</row>
    <row r="20" spans="1:14" hidden="1" x14ac:dyDescent="0.25">
      <c r="A20" s="143"/>
      <c r="B20" s="143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</row>
    <row r="21" spans="1:14" hidden="1" x14ac:dyDescent="0.25">
      <c r="A21" s="143"/>
      <c r="B21" s="143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</row>
    <row r="22" spans="1:14" hidden="1" x14ac:dyDescent="0.25">
      <c r="A22" s="143"/>
      <c r="B22" s="143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</row>
    <row r="23" spans="1:14" hidden="1" x14ac:dyDescent="0.25">
      <c r="A23" s="143"/>
      <c r="B23" s="143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spans="1:14" hidden="1" x14ac:dyDescent="0.25">
      <c r="A24" s="143"/>
      <c r="B24" s="143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5" spans="1:14" hidden="1" x14ac:dyDescent="0.25">
      <c r="A25" s="143"/>
      <c r="B25" s="143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</row>
    <row r="26" spans="1:14" ht="17.25" hidden="1" customHeight="1" x14ac:dyDescent="0.25">
      <c r="A26" s="143"/>
      <c r="B26" s="143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</row>
    <row r="27" spans="1:14" hidden="1" x14ac:dyDescent="0.25">
      <c r="A27" s="143"/>
      <c r="B27" s="143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spans="1:14" hidden="1" x14ac:dyDescent="0.25">
      <c r="A28" s="143"/>
      <c r="B28" s="143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1:14" hidden="1" x14ac:dyDescent="0.25">
      <c r="A29" s="143"/>
      <c r="B29" s="143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1:14" hidden="1" x14ac:dyDescent="0.25">
      <c r="A30" s="143"/>
      <c r="B30" s="143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spans="1:14" hidden="1" x14ac:dyDescent="0.25">
      <c r="A31" s="143"/>
      <c r="B31" s="143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  <row r="32" spans="1:14" hidden="1" x14ac:dyDescent="0.25">
      <c r="A32" s="143"/>
      <c r="B32" s="143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</row>
    <row r="33" spans="1:16" hidden="1" x14ac:dyDescent="0.25">
      <c r="A33" s="143"/>
      <c r="B33" s="143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</row>
    <row r="34" spans="1:16" hidden="1" x14ac:dyDescent="0.25">
      <c r="A34" s="143"/>
      <c r="B34" s="143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1:16" hidden="1" x14ac:dyDescent="0.25">
      <c r="A35" s="143"/>
      <c r="B35" s="143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  <row r="36" spans="1:16" hidden="1" x14ac:dyDescent="0.25">
      <c r="A36" s="143"/>
      <c r="B36" s="143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</row>
    <row r="37" spans="1:16" hidden="1" x14ac:dyDescent="0.25">
      <c r="A37" s="143"/>
      <c r="B37" s="143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</row>
    <row r="38" spans="1:16" hidden="1" x14ac:dyDescent="0.25">
      <c r="A38" s="143"/>
      <c r="B38" s="143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</row>
    <row r="39" spans="1:16" hidden="1" x14ac:dyDescent="0.25">
      <c r="A39" s="143"/>
      <c r="B39" s="143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</row>
    <row r="40" spans="1:16" hidden="1" x14ac:dyDescent="0.25">
      <c r="A40" s="143"/>
      <c r="B40" s="143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</row>
    <row r="41" spans="1:16" hidden="1" x14ac:dyDescent="0.25">
      <c r="A41" s="143"/>
      <c r="B41" s="143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</row>
    <row r="42" spans="1:16" hidden="1" x14ac:dyDescent="0.25">
      <c r="A42" s="143"/>
      <c r="B42" s="143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</row>
    <row r="43" spans="1:16" hidden="1" x14ac:dyDescent="0.25">
      <c r="A43" s="143"/>
      <c r="B43" s="143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</row>
    <row r="44" spans="1:16" ht="15.75" hidden="1" thickBot="1" x14ac:dyDescent="0.3">
      <c r="A44" s="624" t="s">
        <v>436</v>
      </c>
      <c r="B44" s="625"/>
      <c r="C44" s="441" t="e">
        <f>(5*'Students Survey'!C3*$P$2/100+4*'Students Survey'!C4*$P$2/100+3*'Students Survey'!C5*$P$2/100+2*'Students Survey'!C6*$P$2/100+1*'Students Survey'!C7*$P$2/100)/($P$2-(C8*$P$2/100))</f>
        <v>#DIV/0!</v>
      </c>
      <c r="D44" s="441" t="e">
        <f>(5*'Students Survey'!D3*$P$2/100+4*'Students Survey'!D4*$P$2/100+3*'Students Survey'!D5*$P$2/100+2*'Students Survey'!D6*$P$2/100+1*'Students Survey'!D7*$P$2/100)/($P$2-(D8*$P$2/100))</f>
        <v>#DIV/0!</v>
      </c>
      <c r="E44" s="441" t="e">
        <f>(5*'Students Survey'!E3*$P$2/100+4*'Students Survey'!E4*$P$2/100+3*'Students Survey'!E5*$P$2/100+2*'Students Survey'!E6*$P$2/100+1*'Students Survey'!E7*$P$2/100)/($P$2-(E8*$P$2/100))</f>
        <v>#DIV/0!</v>
      </c>
      <c r="F44" s="441" t="e">
        <f>(5*'Students Survey'!F3*$P$2/100+4*'Students Survey'!F4*$P$2/100+3*'Students Survey'!F5*$P$2/100+2*'Students Survey'!F6*$P$2/100+1*'Students Survey'!F7*$P$2/100)/($P$2-(F8*$P$2/100))</f>
        <v>#DIV/0!</v>
      </c>
      <c r="G44" s="441" t="e">
        <f>(5*'Students Survey'!G3*$P$2/100+4*'Students Survey'!G4*$P$2/100+3*'Students Survey'!G5*$P$2/100+2*'Students Survey'!G6*$P$2/100+1*'Students Survey'!G7*$P$2/100)/($P$2-(G8*$P$2/100))</f>
        <v>#DIV/0!</v>
      </c>
      <c r="H44" s="441" t="e">
        <f>(5*'Students Survey'!H3*$P$2/100+4*'Students Survey'!H4*$P$2/100+3*'Students Survey'!H5*$P$2/100+2*'Students Survey'!H6*$P$2/100+1*'Students Survey'!H7*$P$2/100)/($P$2-(H8*$P$2/100))</f>
        <v>#DIV/0!</v>
      </c>
      <c r="I44" s="441" t="e">
        <f>(5*'Students Survey'!I3*$P$2/100+4*'Students Survey'!I4*$P$2/100+3*'Students Survey'!I5*$P$2/100+2*'Students Survey'!I6*$P$2/100+1*'Students Survey'!I7*$P$2/100)/($P$2-(I8*$P$2/100))</f>
        <v>#DIV/0!</v>
      </c>
      <c r="J44" s="441" t="e">
        <f>(5*'Students Survey'!J3*$P$2/100+4*'Students Survey'!J4*$P$2/100+3*'Students Survey'!J5*$P$2/100+2*'Students Survey'!J6*$P$2/100+1*'Students Survey'!J7*$P$2/100)/($P$2-(J8*$P$2/100))</f>
        <v>#DIV/0!</v>
      </c>
      <c r="K44" s="441" t="e">
        <f>(5*'Students Survey'!K3*$P$2/100+4*'Students Survey'!K4*$P$2/100+3*'Students Survey'!K5*$P$2/100+2*'Students Survey'!K6*$P$2/100+1*'Students Survey'!K7*$P$2/100)/($P$2-(K8*$P$2/100))</f>
        <v>#DIV/0!</v>
      </c>
      <c r="L44" s="441" t="e">
        <f>(5*'Students Survey'!L3*$P$2/100+4*'Students Survey'!L4*$P$2/100+3*'Students Survey'!L5*$P$2/100+2*'Students Survey'!L6*$P$2/100+1*'Students Survey'!L7*$P$2/100)/($P$2-(L8*$P$2/100))</f>
        <v>#DIV/0!</v>
      </c>
      <c r="M44" s="441" t="e">
        <f>(5*'Students Survey'!M3*$P$2/100+4*'Students Survey'!M4*$P$2/100+3*'Students Survey'!M5*$P$2/100+2*'Students Survey'!M6*$P$2/100+1*'Students Survey'!M7*$P$2/100)/($P$2-(M8*$P$2/100))</f>
        <v>#DIV/0!</v>
      </c>
      <c r="N44" s="441" t="e">
        <f>(5*'Students Survey'!N3*$P$2/100+4*'Students Survey'!N4*$P$2/100+3*'Students Survey'!N5*$P$2/100+2*'Students Survey'!N6*$P$2/100+1*'Students Survey'!N7*$P$2/100)/($P$2-(N8*$P$2/100))</f>
        <v>#DIV/0!</v>
      </c>
    </row>
    <row r="45" spans="1:16" ht="15.75" thickBot="1" x14ac:dyDescent="0.3">
      <c r="A45" s="620" t="s">
        <v>37</v>
      </c>
      <c r="B45" s="621"/>
      <c r="C45" s="442" t="str">
        <f>IF(SUM(C3:C7)=0," ", C44)</f>
        <v xml:space="preserve"> </v>
      </c>
      <c r="D45" s="442" t="str">
        <f t="shared" ref="D45:N45" si="0">IF(SUM(D3:D7)=0," ", D44)</f>
        <v xml:space="preserve"> </v>
      </c>
      <c r="E45" s="442" t="str">
        <f t="shared" si="0"/>
        <v xml:space="preserve"> </v>
      </c>
      <c r="F45" s="442" t="str">
        <f t="shared" si="0"/>
        <v xml:space="preserve"> </v>
      </c>
      <c r="G45" s="442" t="str">
        <f t="shared" si="0"/>
        <v xml:space="preserve"> </v>
      </c>
      <c r="H45" s="442" t="str">
        <f t="shared" si="0"/>
        <v xml:space="preserve"> </v>
      </c>
      <c r="I45" s="442" t="str">
        <f t="shared" si="0"/>
        <v xml:space="preserve"> </v>
      </c>
      <c r="J45" s="442" t="str">
        <f t="shared" si="0"/>
        <v xml:space="preserve"> </v>
      </c>
      <c r="K45" s="442" t="str">
        <f t="shared" si="0"/>
        <v xml:space="preserve"> </v>
      </c>
      <c r="L45" s="442" t="str">
        <f t="shared" si="0"/>
        <v xml:space="preserve"> </v>
      </c>
      <c r="M45" s="442" t="str">
        <f t="shared" si="0"/>
        <v xml:space="preserve"> </v>
      </c>
      <c r="N45" s="443" t="str">
        <f t="shared" si="0"/>
        <v xml:space="preserve"> </v>
      </c>
    </row>
    <row r="46" spans="1:16" ht="15.75" x14ac:dyDescent="0.25">
      <c r="B46" s="108"/>
      <c r="C46" s="112"/>
      <c r="D46" s="112"/>
      <c r="E46" s="112"/>
      <c r="F46" s="112"/>
      <c r="G46" s="112"/>
      <c r="H46" s="112"/>
    </row>
    <row r="47" spans="1:16" ht="15.75" x14ac:dyDescent="0.25">
      <c r="B47" s="108"/>
      <c r="C47" s="112"/>
      <c r="D47" s="112"/>
      <c r="E47" s="112"/>
      <c r="F47" s="112"/>
      <c r="G47" s="112"/>
      <c r="H47" s="112"/>
      <c r="I47" s="99"/>
      <c r="J47" s="99"/>
      <c r="K47" s="99"/>
      <c r="P47" s="97"/>
    </row>
    <row r="48" spans="1:16" ht="15.75" x14ac:dyDescent="0.25">
      <c r="A48" s="99"/>
      <c r="B48" s="108"/>
      <c r="C48" s="112"/>
      <c r="D48" s="112"/>
      <c r="E48" s="112"/>
      <c r="F48" s="112"/>
      <c r="G48" s="112"/>
      <c r="H48" s="112"/>
      <c r="I48" s="99"/>
      <c r="J48" s="99"/>
      <c r="K48" s="99"/>
      <c r="L48" s="99"/>
      <c r="M48" s="99"/>
      <c r="P48" s="97"/>
    </row>
    <row r="49" spans="1:16" x14ac:dyDescent="0.25">
      <c r="A49" s="99"/>
      <c r="B49" s="99"/>
      <c r="C49" s="99"/>
      <c r="D49" s="100"/>
      <c r="E49" s="100"/>
      <c r="F49" s="100"/>
      <c r="G49" s="100"/>
      <c r="H49" s="100"/>
      <c r="I49" s="100"/>
      <c r="J49" s="100"/>
      <c r="L49" s="100"/>
      <c r="M49" s="100"/>
      <c r="P49" s="97"/>
    </row>
    <row r="50" spans="1:16" ht="15.75" x14ac:dyDescent="0.25">
      <c r="A50" s="99"/>
      <c r="B50" s="108"/>
      <c r="C50" s="108"/>
      <c r="D50" s="108"/>
      <c r="E50" s="112"/>
      <c r="F50" s="112"/>
      <c r="G50" s="112"/>
      <c r="H50" s="112"/>
      <c r="I50" s="100"/>
      <c r="J50" s="100"/>
      <c r="L50" s="100"/>
      <c r="M50" s="100"/>
      <c r="P50" s="97"/>
    </row>
    <row r="51" spans="1:16" x14ac:dyDescent="0.25">
      <c r="A51" s="99"/>
      <c r="B51" s="113" t="s">
        <v>149</v>
      </c>
      <c r="C51" s="113"/>
      <c r="D51" s="113"/>
      <c r="E51" s="113"/>
      <c r="F51" s="113"/>
      <c r="G51" s="113"/>
      <c r="H51" s="113"/>
      <c r="I51" s="100"/>
      <c r="J51" s="100"/>
      <c r="L51" s="100"/>
      <c r="M51" s="100"/>
      <c r="P51" s="97"/>
    </row>
    <row r="52" spans="1:16" x14ac:dyDescent="0.25">
      <c r="B52" s="112"/>
      <c r="C52" s="112"/>
      <c r="D52" s="114"/>
      <c r="E52" s="114"/>
      <c r="F52" s="114"/>
      <c r="G52" s="114"/>
      <c r="H52" s="114"/>
    </row>
    <row r="53" spans="1:16" x14ac:dyDescent="0.25">
      <c r="B53" s="112"/>
      <c r="C53" s="112"/>
      <c r="D53" s="110"/>
      <c r="E53" s="110"/>
      <c r="F53" s="110"/>
      <c r="G53" s="110"/>
      <c r="H53" s="110"/>
      <c r="I53" s="99"/>
      <c r="J53" s="99"/>
      <c r="K53" s="99"/>
      <c r="P53" s="97"/>
    </row>
    <row r="54" spans="1:16" x14ac:dyDescent="0.25">
      <c r="A54" s="99"/>
      <c r="B54" s="113" t="s">
        <v>149</v>
      </c>
      <c r="C54" s="113"/>
      <c r="D54" s="113"/>
      <c r="E54" s="113"/>
      <c r="F54" s="113"/>
      <c r="G54" s="113"/>
      <c r="H54" s="113"/>
      <c r="I54" s="99"/>
      <c r="J54" s="99"/>
      <c r="K54" s="99"/>
      <c r="L54" s="99"/>
      <c r="M54" s="99"/>
      <c r="P54" s="97"/>
    </row>
    <row r="55" spans="1:16" x14ac:dyDescent="0.25">
      <c r="A55" s="99"/>
      <c r="B55" s="112"/>
      <c r="C55" s="112"/>
      <c r="D55" s="114"/>
      <c r="E55" s="114"/>
      <c r="F55" s="114"/>
      <c r="G55" s="114"/>
      <c r="H55" s="114"/>
      <c r="I55" s="100"/>
      <c r="J55" s="100"/>
      <c r="K55" s="100"/>
      <c r="L55" s="100"/>
      <c r="M55" s="100"/>
      <c r="P55" s="97"/>
    </row>
    <row r="56" spans="1:16" x14ac:dyDescent="0.25">
      <c r="A56" s="99"/>
      <c r="B56" s="112"/>
      <c r="C56" s="112"/>
      <c r="D56" s="110"/>
      <c r="E56" s="110"/>
      <c r="F56" s="110"/>
      <c r="G56" s="110"/>
      <c r="H56" s="110"/>
      <c r="I56" s="100"/>
      <c r="J56" s="100"/>
      <c r="K56" s="100"/>
      <c r="L56" s="100"/>
      <c r="M56" s="100"/>
      <c r="P56" s="97"/>
    </row>
    <row r="57" spans="1:16" x14ac:dyDescent="0.25">
      <c r="A57" s="99"/>
      <c r="B57" s="113" t="s">
        <v>149</v>
      </c>
      <c r="C57" s="113"/>
      <c r="D57" s="113"/>
      <c r="E57" s="113"/>
      <c r="F57" s="113"/>
      <c r="G57" s="113"/>
      <c r="H57" s="113"/>
      <c r="I57" s="100"/>
      <c r="J57" s="100"/>
      <c r="K57" s="100"/>
      <c r="L57" s="100"/>
      <c r="M57" s="100"/>
      <c r="P57" s="97"/>
    </row>
    <row r="58" spans="1:16" x14ac:dyDescent="0.25">
      <c r="A58" s="99"/>
      <c r="B58" s="112"/>
      <c r="C58" s="112"/>
      <c r="D58" s="114"/>
      <c r="E58" s="114"/>
      <c r="F58" s="114"/>
      <c r="G58" s="114"/>
      <c r="H58" s="114"/>
      <c r="I58" s="100"/>
      <c r="J58" s="100"/>
      <c r="K58" s="100"/>
      <c r="L58" s="100"/>
      <c r="M58" s="100"/>
      <c r="P58" s="97"/>
    </row>
    <row r="59" spans="1:16" x14ac:dyDescent="0.25">
      <c r="A59" s="99"/>
      <c r="B59" s="112"/>
      <c r="C59" s="112"/>
      <c r="D59" s="110"/>
      <c r="E59" s="110"/>
      <c r="F59" s="110"/>
      <c r="G59" s="110"/>
      <c r="H59" s="110"/>
      <c r="I59" s="100"/>
      <c r="J59" s="100"/>
      <c r="L59" s="100"/>
      <c r="M59" s="100"/>
      <c r="P59" s="97"/>
    </row>
    <row r="60" spans="1:16" x14ac:dyDescent="0.25">
      <c r="B60" s="113" t="s">
        <v>149</v>
      </c>
      <c r="C60" s="113"/>
      <c r="D60" s="113"/>
      <c r="E60" s="113"/>
      <c r="F60" s="113"/>
      <c r="G60" s="113"/>
      <c r="H60" s="113"/>
      <c r="P60" s="97"/>
    </row>
    <row r="61" spans="1:16" x14ac:dyDescent="0.25">
      <c r="B61" s="112"/>
      <c r="C61" s="112"/>
      <c r="D61" s="114"/>
      <c r="E61" s="114"/>
      <c r="F61" s="114"/>
      <c r="G61" s="114"/>
      <c r="H61" s="114"/>
      <c r="P61" s="97"/>
    </row>
    <row r="62" spans="1:16" x14ac:dyDescent="0.25">
      <c r="B62" s="112"/>
      <c r="C62" s="112"/>
      <c r="D62" s="110"/>
      <c r="E62" s="110"/>
      <c r="F62" s="110"/>
      <c r="G62" s="110"/>
      <c r="H62" s="110"/>
      <c r="P62" s="97"/>
    </row>
    <row r="63" spans="1:16" x14ac:dyDescent="0.25">
      <c r="B63" s="113" t="s">
        <v>149</v>
      </c>
      <c r="C63" s="113"/>
      <c r="D63" s="113"/>
      <c r="E63" s="113"/>
      <c r="F63" s="113"/>
      <c r="G63" s="113"/>
      <c r="H63" s="113"/>
      <c r="P63" s="97"/>
    </row>
    <row r="64" spans="1:16" x14ac:dyDescent="0.25">
      <c r="B64" s="112"/>
      <c r="C64" s="112"/>
      <c r="D64" s="114"/>
      <c r="E64" s="114"/>
      <c r="F64" s="114"/>
      <c r="G64" s="114"/>
      <c r="H64" s="114"/>
      <c r="P64" s="97"/>
    </row>
    <row r="65" spans="2:16" x14ac:dyDescent="0.25">
      <c r="B65" s="112"/>
      <c r="C65" s="112"/>
      <c r="D65" s="110"/>
      <c r="E65" s="110"/>
      <c r="F65" s="110"/>
      <c r="G65" s="110"/>
      <c r="H65" s="110"/>
      <c r="P65" s="97"/>
    </row>
    <row r="66" spans="2:16" x14ac:dyDescent="0.25">
      <c r="B66" s="113" t="s">
        <v>149</v>
      </c>
      <c r="C66" s="113"/>
      <c r="D66" s="113"/>
      <c r="E66" s="113"/>
      <c r="F66" s="113"/>
      <c r="G66" s="113"/>
      <c r="H66" s="113"/>
      <c r="P66" s="97"/>
    </row>
    <row r="67" spans="2:16" x14ac:dyDescent="0.25">
      <c r="B67" s="112"/>
      <c r="C67" s="112"/>
      <c r="D67" s="114"/>
      <c r="E67" s="114"/>
      <c r="F67" s="114"/>
      <c r="G67" s="114"/>
      <c r="H67" s="114"/>
      <c r="P67" s="97"/>
    </row>
    <row r="68" spans="2:16" x14ac:dyDescent="0.25">
      <c r="B68" s="112"/>
      <c r="C68" s="112"/>
      <c r="D68" s="110"/>
      <c r="E68" s="110"/>
      <c r="F68" s="110"/>
      <c r="G68" s="110"/>
      <c r="H68" s="110"/>
      <c r="P68" s="97"/>
    </row>
    <row r="69" spans="2:16" x14ac:dyDescent="0.25">
      <c r="B69" s="113" t="s">
        <v>149</v>
      </c>
      <c r="C69" s="113"/>
      <c r="D69" s="113"/>
      <c r="E69" s="113"/>
      <c r="F69" s="113"/>
      <c r="G69" s="113"/>
      <c r="H69" s="113"/>
      <c r="P69" s="97"/>
    </row>
    <row r="70" spans="2:16" x14ac:dyDescent="0.25">
      <c r="B70" s="112"/>
      <c r="C70" s="112"/>
      <c r="D70" s="114"/>
      <c r="E70" s="114"/>
      <c r="F70" s="114"/>
      <c r="G70" s="114"/>
      <c r="H70" s="114"/>
      <c r="P70" s="97"/>
    </row>
    <row r="71" spans="2:16" x14ac:dyDescent="0.25">
      <c r="B71" s="112"/>
      <c r="C71" s="112"/>
      <c r="D71" s="110"/>
      <c r="E71" s="110"/>
      <c r="F71" s="110"/>
      <c r="G71" s="110"/>
      <c r="H71" s="110"/>
      <c r="P71" s="97"/>
    </row>
    <row r="72" spans="2:16" x14ac:dyDescent="0.25">
      <c r="B72" s="113" t="s">
        <v>149</v>
      </c>
      <c r="C72" s="113"/>
      <c r="D72" s="109"/>
      <c r="E72" s="112"/>
      <c r="F72" s="112"/>
      <c r="G72" s="112"/>
      <c r="H72" s="112"/>
      <c r="P72" s="97"/>
    </row>
    <row r="73" spans="2:16" x14ac:dyDescent="0.25">
      <c r="B73" s="112"/>
      <c r="C73" s="112"/>
      <c r="D73" s="114"/>
      <c r="E73" s="112"/>
      <c r="F73" s="112"/>
      <c r="G73" s="112"/>
      <c r="H73" s="112"/>
      <c r="P73" s="97"/>
    </row>
    <row r="74" spans="2:16" x14ac:dyDescent="0.25">
      <c r="B74" s="112"/>
      <c r="C74" s="112"/>
      <c r="D74" s="114"/>
      <c r="E74" s="112"/>
      <c r="F74" s="112"/>
      <c r="G74" s="112"/>
      <c r="H74" s="112"/>
      <c r="P74" s="97"/>
    </row>
    <row r="75" spans="2:16" x14ac:dyDescent="0.25">
      <c r="B75" s="112"/>
      <c r="C75" s="112"/>
      <c r="D75" s="114"/>
      <c r="E75" s="112"/>
      <c r="F75" s="112"/>
      <c r="G75" s="112"/>
      <c r="H75" s="112"/>
      <c r="P75" s="97"/>
    </row>
    <row r="76" spans="2:16" x14ac:dyDescent="0.25">
      <c r="B76" s="112"/>
      <c r="C76" s="112"/>
      <c r="D76" s="114"/>
      <c r="E76" s="112"/>
      <c r="F76" s="112"/>
      <c r="G76" s="112"/>
      <c r="H76" s="112"/>
      <c r="P76" s="97"/>
    </row>
    <row r="77" spans="2:16" x14ac:dyDescent="0.25">
      <c r="B77" s="112"/>
      <c r="C77" s="112"/>
      <c r="D77" s="114"/>
      <c r="E77" s="112"/>
      <c r="F77" s="112"/>
      <c r="G77" s="112"/>
      <c r="H77" s="112"/>
      <c r="P77" s="97"/>
    </row>
    <row r="78" spans="2:16" x14ac:dyDescent="0.25">
      <c r="B78" s="99"/>
      <c r="C78" s="99"/>
      <c r="D78" s="114"/>
      <c r="E78" s="99"/>
      <c r="F78" s="99"/>
      <c r="G78" s="99"/>
      <c r="H78" s="99"/>
      <c r="P78" s="97"/>
    </row>
    <row r="79" spans="2:16" x14ac:dyDescent="0.25">
      <c r="C79" s="103"/>
      <c r="D79" s="114"/>
      <c r="E79" s="100"/>
      <c r="F79" s="100"/>
      <c r="G79" s="100"/>
      <c r="H79" s="100"/>
      <c r="P79" s="97"/>
    </row>
    <row r="80" spans="2:16" s="111" customFormat="1" ht="15.75" thickBot="1" x14ac:dyDescent="0.3">
      <c r="C80" s="115"/>
      <c r="D80" s="116"/>
      <c r="E80" s="116"/>
      <c r="F80" s="116"/>
      <c r="G80" s="116"/>
      <c r="H80" s="116"/>
    </row>
    <row r="81" spans="2:16" x14ac:dyDescent="0.25">
      <c r="B81" s="112"/>
      <c r="C81" s="112"/>
      <c r="D81" s="112"/>
      <c r="E81" s="113"/>
      <c r="F81" s="113"/>
      <c r="G81" s="113"/>
      <c r="H81" s="113"/>
      <c r="I81" s="113"/>
      <c r="J81" s="113"/>
      <c r="K81" s="113"/>
      <c r="L81" s="113"/>
      <c r="M81" s="112"/>
      <c r="N81" s="112"/>
      <c r="P81" s="97"/>
    </row>
    <row r="82" spans="2:16" x14ac:dyDescent="0.25"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P82" s="97"/>
    </row>
    <row r="83" spans="2:16" x14ac:dyDescent="0.25">
      <c r="B83" s="113"/>
      <c r="C83" s="113"/>
      <c r="D83" s="113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P83" s="97"/>
    </row>
    <row r="84" spans="2:16" x14ac:dyDescent="0.25">
      <c r="B84" s="113"/>
      <c r="C84" s="113"/>
      <c r="D84" s="113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P84" s="97"/>
    </row>
    <row r="85" spans="2:16" x14ac:dyDescent="0.25">
      <c r="B85" s="113"/>
      <c r="C85" s="113"/>
      <c r="D85" s="113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P85" s="97"/>
    </row>
    <row r="86" spans="2:16" x14ac:dyDescent="0.25">
      <c r="B86" s="113"/>
      <c r="C86" s="113"/>
      <c r="D86" s="113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P86" s="97"/>
    </row>
    <row r="87" spans="2:16" x14ac:dyDescent="0.25">
      <c r="B87" s="113"/>
      <c r="C87" s="113"/>
      <c r="D87" s="113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P87" s="97"/>
    </row>
    <row r="88" spans="2:16" x14ac:dyDescent="0.25">
      <c r="B88" s="113"/>
      <c r="C88" s="113"/>
      <c r="D88" s="113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P88" s="97"/>
    </row>
    <row r="89" spans="2:16" x14ac:dyDescent="0.25">
      <c r="B89" s="113"/>
      <c r="C89" s="113"/>
      <c r="D89" s="113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P89" s="97"/>
    </row>
    <row r="90" spans="2:16" x14ac:dyDescent="0.25">
      <c r="B90" s="113"/>
      <c r="C90" s="113"/>
      <c r="D90" s="113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P90" s="97"/>
    </row>
    <row r="91" spans="2:16" ht="15.75" x14ac:dyDescent="0.25">
      <c r="B91" s="98"/>
      <c r="P91" s="97"/>
    </row>
    <row r="92" spans="2:16" x14ac:dyDescent="0.25">
      <c r="P92" s="97"/>
    </row>
    <row r="93" spans="2:16" ht="15.75" x14ac:dyDescent="0.25">
      <c r="B93" s="98"/>
      <c r="C93" s="98"/>
      <c r="D93" s="98"/>
      <c r="P93" s="97"/>
    </row>
    <row r="94" spans="2:16" x14ac:dyDescent="0.25">
      <c r="B94" s="99"/>
      <c r="C94" s="99"/>
      <c r="D94" s="99"/>
      <c r="E94" s="99"/>
      <c r="F94" s="99"/>
      <c r="G94" s="99"/>
      <c r="H94" s="99"/>
      <c r="P94" s="97"/>
    </row>
    <row r="95" spans="2:16" x14ac:dyDescent="0.25">
      <c r="D95" s="100"/>
      <c r="E95" s="100"/>
      <c r="F95" s="100"/>
      <c r="G95" s="100"/>
      <c r="H95" s="100"/>
      <c r="P95" s="97"/>
    </row>
    <row r="96" spans="2:16" x14ac:dyDescent="0.25">
      <c r="D96" s="101"/>
      <c r="E96" s="101"/>
      <c r="F96" s="101"/>
      <c r="G96" s="101"/>
      <c r="H96" s="101"/>
      <c r="P96" s="97"/>
    </row>
    <row r="97" spans="2:16" x14ac:dyDescent="0.25">
      <c r="B97" s="99"/>
      <c r="C97" s="99"/>
      <c r="D97" s="99"/>
      <c r="E97" s="99"/>
      <c r="F97" s="99"/>
      <c r="G97" s="99"/>
      <c r="H97" s="99"/>
      <c r="P97" s="97"/>
    </row>
    <row r="98" spans="2:16" x14ac:dyDescent="0.25">
      <c r="D98" s="100"/>
      <c r="E98" s="100"/>
      <c r="F98" s="100"/>
      <c r="G98" s="100"/>
      <c r="H98" s="100"/>
      <c r="P98" s="97"/>
    </row>
    <row r="99" spans="2:16" x14ac:dyDescent="0.25">
      <c r="D99" s="101"/>
      <c r="E99" s="101"/>
      <c r="F99" s="101"/>
      <c r="G99" s="101"/>
      <c r="H99" s="101"/>
      <c r="P99" s="97"/>
    </row>
    <row r="100" spans="2:16" x14ac:dyDescent="0.25">
      <c r="B100" s="99"/>
      <c r="C100" s="99"/>
      <c r="D100" s="99"/>
      <c r="E100" s="99"/>
      <c r="F100" s="99"/>
      <c r="G100" s="99"/>
      <c r="H100" s="99"/>
      <c r="P100" s="97"/>
    </row>
    <row r="101" spans="2:16" x14ac:dyDescent="0.25">
      <c r="D101" s="100"/>
      <c r="E101" s="100"/>
      <c r="F101" s="100"/>
      <c r="G101" s="100"/>
      <c r="H101" s="100"/>
      <c r="P101" s="97"/>
    </row>
    <row r="102" spans="2:16" x14ac:dyDescent="0.25">
      <c r="D102" s="101"/>
      <c r="E102" s="101"/>
      <c r="F102" s="101"/>
      <c r="G102" s="101"/>
      <c r="H102" s="101"/>
      <c r="P102" s="97"/>
    </row>
    <row r="103" spans="2:16" x14ac:dyDescent="0.25">
      <c r="B103" s="99"/>
      <c r="C103" s="99"/>
      <c r="D103" s="99"/>
      <c r="E103" s="99"/>
      <c r="F103" s="99"/>
      <c r="G103" s="99"/>
      <c r="H103" s="99"/>
      <c r="P103" s="97"/>
    </row>
    <row r="104" spans="2:16" x14ac:dyDescent="0.25">
      <c r="D104" s="100"/>
      <c r="E104" s="100"/>
      <c r="F104" s="100"/>
      <c r="G104" s="100"/>
      <c r="H104" s="100"/>
      <c r="P104" s="97"/>
    </row>
    <row r="105" spans="2:16" x14ac:dyDescent="0.25">
      <c r="D105" s="101"/>
      <c r="E105" s="101"/>
      <c r="F105" s="101"/>
      <c r="G105" s="101"/>
      <c r="H105" s="101"/>
      <c r="P105" s="97"/>
    </row>
    <row r="106" spans="2:16" x14ac:dyDescent="0.25">
      <c r="B106" s="99"/>
      <c r="C106" s="99"/>
      <c r="D106" s="99"/>
      <c r="E106" s="99"/>
      <c r="F106" s="99"/>
      <c r="G106" s="99"/>
      <c r="H106" s="99"/>
      <c r="P106" s="97"/>
    </row>
    <row r="107" spans="2:16" x14ac:dyDescent="0.25">
      <c r="D107" s="100"/>
      <c r="E107" s="100"/>
      <c r="F107" s="100"/>
      <c r="G107" s="100"/>
      <c r="H107" s="100"/>
      <c r="P107" s="97"/>
    </row>
    <row r="108" spans="2:16" x14ac:dyDescent="0.25">
      <c r="D108" s="101"/>
      <c r="E108" s="101"/>
      <c r="F108" s="101"/>
      <c r="G108" s="101"/>
      <c r="H108" s="101"/>
      <c r="P108" s="97"/>
    </row>
    <row r="109" spans="2:16" x14ac:dyDescent="0.25">
      <c r="B109" s="99"/>
      <c r="C109" s="99"/>
      <c r="D109" s="99"/>
      <c r="E109" s="99"/>
      <c r="F109" s="99"/>
      <c r="G109" s="99"/>
      <c r="H109" s="99"/>
      <c r="P109" s="97"/>
    </row>
    <row r="110" spans="2:16" x14ac:dyDescent="0.25">
      <c r="D110" s="100"/>
      <c r="E110" s="100"/>
      <c r="F110" s="100"/>
      <c r="G110" s="100"/>
      <c r="H110" s="100"/>
      <c r="P110" s="97"/>
    </row>
    <row r="111" spans="2:16" x14ac:dyDescent="0.25">
      <c r="D111" s="101"/>
      <c r="E111" s="101"/>
      <c r="F111" s="101"/>
      <c r="G111" s="101"/>
      <c r="H111" s="101"/>
      <c r="P111" s="97"/>
    </row>
    <row r="112" spans="2:16" x14ac:dyDescent="0.25">
      <c r="B112" s="99"/>
      <c r="C112" s="99"/>
      <c r="D112" s="99"/>
      <c r="E112" s="99"/>
      <c r="F112" s="99"/>
      <c r="G112" s="99"/>
      <c r="H112" s="99"/>
      <c r="P112" s="97"/>
    </row>
    <row r="113" spans="2:16" x14ac:dyDescent="0.25">
      <c r="D113" s="100"/>
      <c r="E113" s="100"/>
      <c r="F113" s="100"/>
      <c r="G113" s="100"/>
      <c r="H113" s="100"/>
      <c r="P113" s="97"/>
    </row>
    <row r="114" spans="2:16" x14ac:dyDescent="0.25">
      <c r="D114" s="101"/>
      <c r="E114" s="101"/>
      <c r="F114" s="101"/>
      <c r="G114" s="101"/>
      <c r="H114" s="101"/>
      <c r="P114" s="97"/>
    </row>
    <row r="115" spans="2:16" x14ac:dyDescent="0.25">
      <c r="B115" s="99"/>
      <c r="C115" s="99"/>
      <c r="D115" s="102"/>
      <c r="P115" s="97"/>
    </row>
    <row r="116" spans="2:16" x14ac:dyDescent="0.25">
      <c r="D116" s="100"/>
      <c r="P116" s="97"/>
    </row>
    <row r="117" spans="2:16" x14ac:dyDescent="0.25">
      <c r="D117" s="100"/>
      <c r="P117" s="97"/>
    </row>
    <row r="118" spans="2:16" x14ac:dyDescent="0.25">
      <c r="D118" s="100"/>
      <c r="P118" s="97"/>
    </row>
    <row r="119" spans="2:16" x14ac:dyDescent="0.25">
      <c r="D119" s="100"/>
      <c r="P119" s="97"/>
    </row>
  </sheetData>
  <mergeCells count="10">
    <mergeCell ref="A45:B45"/>
    <mergeCell ref="A7:B7"/>
    <mergeCell ref="A44:B44"/>
    <mergeCell ref="A1:B1"/>
    <mergeCell ref="A3:B3"/>
    <mergeCell ref="A4:B4"/>
    <mergeCell ref="A5:B5"/>
    <mergeCell ref="A6:B6"/>
    <mergeCell ref="A2:B2"/>
    <mergeCell ref="A8:B8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  <pageSetUpPr fitToPage="1"/>
  </sheetPr>
  <dimension ref="A1:OI129"/>
  <sheetViews>
    <sheetView zoomScale="50" zoomScaleNormal="50" workbookViewId="0">
      <selection activeCell="L118" sqref="L118"/>
    </sheetView>
  </sheetViews>
  <sheetFormatPr defaultRowHeight="15" x14ac:dyDescent="0.25"/>
  <cols>
    <col min="1" max="1" width="18.140625" customWidth="1"/>
    <col min="2" max="3" width="9.140625" customWidth="1"/>
    <col min="12" max="13" width="9" customWidth="1"/>
  </cols>
  <sheetData>
    <row r="1" spans="1:29" ht="18.75" customHeight="1" x14ac:dyDescent="0.25">
      <c r="A1" s="630" t="s">
        <v>326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  <c r="N1" s="630"/>
      <c r="O1" s="630"/>
      <c r="P1" s="630"/>
      <c r="Q1" s="630"/>
      <c r="R1" s="630"/>
      <c r="S1" s="630"/>
      <c r="T1" s="630"/>
      <c r="U1" s="630"/>
      <c r="V1" s="630"/>
      <c r="W1" s="630"/>
      <c r="X1" s="630"/>
      <c r="Y1" s="630"/>
      <c r="Z1" s="630"/>
      <c r="AA1" s="630"/>
      <c r="AB1" s="630"/>
      <c r="AC1" s="630"/>
    </row>
    <row r="2" spans="1:29" ht="15.75" customHeight="1" x14ac:dyDescent="0.25">
      <c r="A2" s="630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630"/>
      <c r="X2" s="630"/>
      <c r="Y2" s="630"/>
      <c r="Z2" s="630"/>
      <c r="AA2" s="630"/>
      <c r="AB2" s="630"/>
      <c r="AC2" s="630"/>
    </row>
    <row r="3" spans="1:29" ht="15.75" customHeight="1" x14ac:dyDescent="0.25">
      <c r="A3" s="630"/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</row>
    <row r="4" spans="1:29" ht="15.75" customHeight="1" x14ac:dyDescent="0.25">
      <c r="A4" s="630"/>
      <c r="B4" s="630"/>
      <c r="C4" s="630"/>
      <c r="D4" s="630"/>
      <c r="E4" s="630"/>
      <c r="F4" s="630"/>
      <c r="G4" s="630"/>
      <c r="H4" s="630"/>
      <c r="I4" s="630"/>
      <c r="J4" s="630"/>
      <c r="K4" s="630"/>
      <c r="L4" s="630"/>
      <c r="M4" s="630"/>
      <c r="N4" s="630"/>
      <c r="O4" s="630"/>
      <c r="P4" s="630"/>
      <c r="Q4" s="630"/>
      <c r="R4" s="630"/>
      <c r="S4" s="630"/>
      <c r="T4" s="630"/>
      <c r="U4" s="630"/>
      <c r="V4" s="630"/>
      <c r="W4" s="630"/>
      <c r="X4" s="630"/>
      <c r="Y4" s="630"/>
      <c r="Z4" s="630"/>
      <c r="AA4" s="630"/>
      <c r="AB4" s="630"/>
      <c r="AC4" s="630"/>
    </row>
    <row r="5" spans="1:29" ht="15.75" customHeight="1" x14ac:dyDescent="0.25">
      <c r="A5" s="630"/>
      <c r="B5" s="630"/>
      <c r="C5" s="630"/>
      <c r="D5" s="630"/>
      <c r="E5" s="630"/>
      <c r="F5" s="630"/>
      <c r="G5" s="630"/>
      <c r="H5" s="630"/>
      <c r="I5" s="630"/>
      <c r="J5" s="630"/>
      <c r="K5" s="630"/>
      <c r="L5" s="630"/>
      <c r="M5" s="630"/>
      <c r="N5" s="630"/>
      <c r="O5" s="630"/>
      <c r="P5" s="630"/>
      <c r="Q5" s="630"/>
      <c r="R5" s="630"/>
      <c r="S5" s="630"/>
      <c r="T5" s="630"/>
      <c r="U5" s="630"/>
      <c r="V5" s="630"/>
      <c r="W5" s="630"/>
      <c r="X5" s="630"/>
      <c r="Y5" s="630"/>
      <c r="Z5" s="630"/>
      <c r="AA5" s="630"/>
      <c r="AB5" s="630"/>
      <c r="AC5" s="630"/>
    </row>
    <row r="6" spans="1:29" x14ac:dyDescent="0.25">
      <c r="J6" s="1"/>
    </row>
    <row r="26" spans="1:28" ht="18.75" x14ac:dyDescent="0.25">
      <c r="B26" s="635" t="s">
        <v>310</v>
      </c>
      <c r="C26" s="636"/>
      <c r="D26" s="636"/>
      <c r="E26" s="636"/>
      <c r="F26" s="636"/>
      <c r="G26" s="636"/>
      <c r="H26" s="636"/>
      <c r="I26" s="636"/>
      <c r="J26" s="636"/>
      <c r="K26" s="636"/>
      <c r="L26" s="636"/>
      <c r="M26" s="636"/>
      <c r="N26" s="636"/>
      <c r="O26" s="636"/>
      <c r="P26" s="636"/>
      <c r="Q26" s="636"/>
      <c r="R26" s="636"/>
      <c r="S26" s="636"/>
      <c r="T26" s="636"/>
      <c r="U26" s="636"/>
      <c r="V26" s="64"/>
      <c r="W26" s="64"/>
      <c r="X26" s="64"/>
      <c r="Y26" s="65"/>
    </row>
    <row r="27" spans="1:28" x14ac:dyDescent="0.25">
      <c r="A27" s="21" t="s">
        <v>45</v>
      </c>
      <c r="B27" s="631" t="s">
        <v>311</v>
      </c>
      <c r="C27" s="632"/>
      <c r="D27" s="631" t="s">
        <v>312</v>
      </c>
      <c r="E27" s="632"/>
      <c r="F27" s="631" t="s">
        <v>313</v>
      </c>
      <c r="G27" s="632"/>
      <c r="H27" s="631" t="s">
        <v>314</v>
      </c>
      <c r="I27" s="632"/>
      <c r="J27" s="631" t="s">
        <v>315</v>
      </c>
      <c r="K27" s="632"/>
      <c r="L27" s="631" t="s">
        <v>316</v>
      </c>
      <c r="M27" s="632"/>
      <c r="N27" s="631" t="s">
        <v>317</v>
      </c>
      <c r="O27" s="632"/>
      <c r="P27" s="631" t="s">
        <v>318</v>
      </c>
      <c r="Q27" s="632"/>
      <c r="R27" s="631" t="s">
        <v>319</v>
      </c>
      <c r="S27" s="632"/>
      <c r="T27" s="631" t="s">
        <v>320</v>
      </c>
      <c r="U27" s="632"/>
      <c r="V27" s="631" t="s">
        <v>321</v>
      </c>
      <c r="W27" s="632"/>
      <c r="X27" s="631" t="s">
        <v>322</v>
      </c>
      <c r="Y27" s="632"/>
      <c r="AB27" s="2" t="s">
        <v>323</v>
      </c>
    </row>
    <row r="28" spans="1:28" x14ac:dyDescent="0.25">
      <c r="A28" s="22">
        <v>1</v>
      </c>
      <c r="B28" s="60" t="str">
        <f>IF('Course Analysis'!B$42='Course Information'!$C10,'Course Report'!$J10," ")</f>
        <v xml:space="preserve"> </v>
      </c>
      <c r="C28" s="60" t="str">
        <f>IF('Course Analysis'!C$42='Course Information'!$D10,'Course Report'!$J10," ")</f>
        <v xml:space="preserve"> </v>
      </c>
      <c r="D28" s="60" t="str">
        <f>IF('Course Analysis'!D$42='Course Information'!$C10,'Course Report'!$J10," ")</f>
        <v xml:space="preserve"> </v>
      </c>
      <c r="E28" s="60" t="str">
        <f>IF('Course Analysis'!E$42='Course Information'!$D10,'Course Report'!$J10," ")</f>
        <v xml:space="preserve"> </v>
      </c>
      <c r="F28" s="60" t="str">
        <f>IF('Course Analysis'!F$42='Course Information'!$C10,'Course Report'!$J10," ")</f>
        <v xml:space="preserve"> </v>
      </c>
      <c r="G28" s="60" t="str">
        <f>IF('Course Analysis'!G$42='Course Information'!$D10,'Course Report'!$J10," ")</f>
        <v xml:space="preserve"> </v>
      </c>
      <c r="H28" s="60" t="str">
        <f>IF('Course Analysis'!H$42='Course Information'!$C10,'Course Report'!$J10," ")</f>
        <v xml:space="preserve"> </v>
      </c>
      <c r="I28" s="60" t="str">
        <f>IF('Course Analysis'!I$42='Course Information'!$D10,'Course Report'!$J10," ")</f>
        <v xml:space="preserve"> </v>
      </c>
      <c r="J28" s="60" t="str">
        <f>IF('Course Analysis'!J$42='Course Information'!$C10,'Course Report'!$J10," ")</f>
        <v xml:space="preserve"> </v>
      </c>
      <c r="K28" s="60" t="str">
        <f>IF('Course Analysis'!K$42='Course Information'!$D10,'Course Report'!$J10," ")</f>
        <v xml:space="preserve"> </v>
      </c>
      <c r="L28" s="60" t="str">
        <f>IF('Course Analysis'!L$42='Course Information'!$C10,'Course Report'!$J10," ")</f>
        <v xml:space="preserve"> </v>
      </c>
      <c r="M28" s="60" t="str">
        <f>IF('Course Analysis'!M$42='Course Information'!$D10,'Course Report'!$J10," ")</f>
        <v xml:space="preserve"> </v>
      </c>
      <c r="N28" s="60" t="str">
        <f>IF('Course Analysis'!N$42='Course Information'!$C10,'Course Report'!$J10," ")</f>
        <v xml:space="preserve"> </v>
      </c>
      <c r="O28" s="60" t="str">
        <f>IF('Course Analysis'!O$42='Course Information'!$D10,'Course Report'!$J10," ")</f>
        <v xml:space="preserve"> </v>
      </c>
      <c r="P28" s="60" t="str">
        <f>IF('Course Analysis'!P$42='Course Information'!$C10,'Course Report'!$J10," ")</f>
        <v xml:space="preserve"> </v>
      </c>
      <c r="Q28" s="60" t="str">
        <f>IF('Course Analysis'!Q$42='Course Information'!$D10,'Course Report'!$J10," ")</f>
        <v xml:space="preserve"> </v>
      </c>
      <c r="R28" s="60" t="str">
        <f>IF('Course Analysis'!R$42='Course Information'!$C10,'Course Report'!$J10," ")</f>
        <v xml:space="preserve"> </v>
      </c>
      <c r="S28" s="60" t="str">
        <f>IF('Course Analysis'!S$42='Course Information'!$D10,'Course Report'!$J10," ")</f>
        <v xml:space="preserve"> </v>
      </c>
      <c r="T28" s="60" t="str">
        <f>IF('Course Analysis'!T$42='Course Information'!$C10,'Course Report'!$J10," ")</f>
        <v xml:space="preserve"> </v>
      </c>
      <c r="U28" s="60" t="str">
        <f>IF('Course Analysis'!U$42='Course Information'!$D10,'Course Report'!$J10," ")</f>
        <v xml:space="preserve"> </v>
      </c>
      <c r="V28" s="60" t="str">
        <f>IF('Course Analysis'!V$42='Course Information'!$C10,'Course Report'!$J10," ")</f>
        <v xml:space="preserve"> </v>
      </c>
      <c r="W28" s="60" t="str">
        <f>IF('Course Analysis'!W$42='Course Information'!$D10,'Course Report'!$J10," ")</f>
        <v xml:space="preserve"> </v>
      </c>
      <c r="X28" s="60" t="str">
        <f>IF('Course Analysis'!X$42='Course Information'!$C10,'Course Report'!$J10," ")</f>
        <v xml:space="preserve"> </v>
      </c>
      <c r="Y28" s="60" t="str">
        <f>IF('Course Analysis'!Y$42='Course Information'!$D10,'Course Report'!$J10," ")</f>
        <v xml:space="preserve"> </v>
      </c>
      <c r="AB28" s="6" t="str">
        <f>B41</f>
        <v xml:space="preserve"> </v>
      </c>
    </row>
    <row r="29" spans="1:28" x14ac:dyDescent="0.25">
      <c r="A29" s="22">
        <v>2</v>
      </c>
      <c r="B29" s="60" t="str">
        <f>IF('Course Analysis'!B$42='Course Information'!$C11,'Course Report'!$J11," ")</f>
        <v xml:space="preserve"> </v>
      </c>
      <c r="C29" s="60" t="str">
        <f>IF('Course Analysis'!C$42='Course Information'!$D11,'Course Report'!$J11," ")</f>
        <v xml:space="preserve"> </v>
      </c>
      <c r="D29" s="60" t="str">
        <f>IF('Course Analysis'!D$42='Course Information'!$C11,'Course Report'!$J11," ")</f>
        <v xml:space="preserve"> </v>
      </c>
      <c r="E29" s="60" t="str">
        <f>IF('Course Analysis'!E$42='Course Information'!$D11,'Course Report'!$J11," ")</f>
        <v xml:space="preserve"> </v>
      </c>
      <c r="F29" s="60" t="str">
        <f>IF('Course Analysis'!F$42='Course Information'!$C11,'Course Report'!$J11," ")</f>
        <v xml:space="preserve"> </v>
      </c>
      <c r="G29" s="60" t="str">
        <f>IF('Course Analysis'!G$42='Course Information'!$D11,'Course Report'!$J11," ")</f>
        <v xml:space="preserve"> </v>
      </c>
      <c r="H29" s="60" t="str">
        <f>IF('Course Analysis'!H$42='Course Information'!$C11,'Course Report'!$J11," ")</f>
        <v xml:space="preserve"> </v>
      </c>
      <c r="I29" s="60" t="str">
        <f>IF('Course Analysis'!I$42='Course Information'!$D11,'Course Report'!$J11," ")</f>
        <v xml:space="preserve"> </v>
      </c>
      <c r="J29" s="60" t="str">
        <f>IF('Course Analysis'!J$42='Course Information'!$C11,'Course Report'!$J11," ")</f>
        <v xml:space="preserve"> </v>
      </c>
      <c r="K29" s="60" t="str">
        <f>IF('Course Analysis'!K$42='Course Information'!$D11,'Course Report'!$J11," ")</f>
        <v xml:space="preserve"> </v>
      </c>
      <c r="L29" s="60" t="str">
        <f>IF('Course Analysis'!L$42='Course Information'!$C11,'Course Report'!$J11," ")</f>
        <v xml:space="preserve"> </v>
      </c>
      <c r="M29" s="60" t="str">
        <f>IF('Course Analysis'!M$42='Course Information'!$D11,'Course Report'!$J11," ")</f>
        <v xml:space="preserve"> </v>
      </c>
      <c r="N29" s="60" t="str">
        <f>IF('Course Analysis'!N$42='Course Information'!$C11,'Course Report'!$J11," ")</f>
        <v xml:space="preserve"> </v>
      </c>
      <c r="O29" s="60" t="str">
        <f>IF('Course Analysis'!O$42='Course Information'!$D11,'Course Report'!$J11," ")</f>
        <v xml:space="preserve"> </v>
      </c>
      <c r="P29" s="60" t="str">
        <f>IF('Course Analysis'!P$42='Course Information'!$C11,'Course Report'!$J11," ")</f>
        <v xml:space="preserve"> </v>
      </c>
      <c r="Q29" s="60" t="str">
        <f>IF('Course Analysis'!Q$42='Course Information'!$D11,'Course Report'!$J11," ")</f>
        <v xml:space="preserve"> </v>
      </c>
      <c r="R29" s="60" t="str">
        <f>IF('Course Analysis'!R$42='Course Information'!$C11,'Course Report'!$J11," ")</f>
        <v xml:space="preserve"> </v>
      </c>
      <c r="S29" s="60" t="str">
        <f>IF('Course Analysis'!S$42='Course Information'!$D11,'Course Report'!$J11," ")</f>
        <v xml:space="preserve"> </v>
      </c>
      <c r="T29" s="60" t="str">
        <f>IF('Course Analysis'!T$42='Course Information'!$C11,'Course Report'!$J11," ")</f>
        <v xml:space="preserve"> </v>
      </c>
      <c r="U29" s="60" t="str">
        <f>IF('Course Analysis'!U$42='Course Information'!$D11,'Course Report'!$J11," ")</f>
        <v xml:space="preserve"> </v>
      </c>
      <c r="V29" s="60" t="str">
        <f>IF('Course Analysis'!V$42='Course Information'!$C11,'Course Report'!$J11," ")</f>
        <v xml:space="preserve"> </v>
      </c>
      <c r="W29" s="60" t="str">
        <f>IF('Course Analysis'!W$42='Course Information'!$D11,'Course Report'!$J11," ")</f>
        <v xml:space="preserve"> </v>
      </c>
      <c r="X29" s="60" t="str">
        <f>IF('Course Analysis'!X$42='Course Information'!$C11,'Course Report'!$J11," ")</f>
        <v xml:space="preserve"> </v>
      </c>
      <c r="Y29" s="60" t="str">
        <f>IF('Course Analysis'!Y$42='Course Information'!$D11,'Course Report'!$J11," ")</f>
        <v xml:space="preserve"> </v>
      </c>
      <c r="AB29" s="6" t="str">
        <f>D41</f>
        <v xml:space="preserve"> </v>
      </c>
    </row>
    <row r="30" spans="1:28" x14ac:dyDescent="0.25">
      <c r="A30" s="22">
        <v>3</v>
      </c>
      <c r="B30" s="60" t="str">
        <f>IF('Course Analysis'!B$42='Course Information'!$C12,'Course Report'!$J12," ")</f>
        <v xml:space="preserve"> </v>
      </c>
      <c r="C30" s="60" t="str">
        <f>IF('Course Analysis'!C$42='Course Information'!$D12,'Course Report'!$J12," ")</f>
        <v xml:space="preserve"> </v>
      </c>
      <c r="D30" s="60" t="str">
        <f>IF('Course Analysis'!D$42='Course Information'!$C12,'Course Report'!$J12," ")</f>
        <v xml:space="preserve"> </v>
      </c>
      <c r="E30" s="60" t="str">
        <f>IF('Course Analysis'!E$42='Course Information'!$D12,'Course Report'!$J12," ")</f>
        <v xml:space="preserve"> </v>
      </c>
      <c r="F30" s="60" t="str">
        <f>IF('Course Analysis'!F$42='Course Information'!$C12,'Course Report'!$J12," ")</f>
        <v xml:space="preserve"> </v>
      </c>
      <c r="G30" s="60" t="str">
        <f>IF('Course Analysis'!G$42='Course Information'!$D12,'Course Report'!$J12," ")</f>
        <v xml:space="preserve"> </v>
      </c>
      <c r="H30" s="60" t="str">
        <f>IF('Course Analysis'!H$42='Course Information'!$C12,'Course Report'!$J12," ")</f>
        <v xml:space="preserve"> </v>
      </c>
      <c r="I30" s="60" t="str">
        <f>IF('Course Analysis'!I$42='Course Information'!$D12,'Course Report'!$J12," ")</f>
        <v xml:space="preserve"> </v>
      </c>
      <c r="J30" s="60" t="str">
        <f>IF('Course Analysis'!J$42='Course Information'!$C12,'Course Report'!$J12," ")</f>
        <v xml:space="preserve"> </v>
      </c>
      <c r="K30" s="60" t="str">
        <f>IF('Course Analysis'!K$42='Course Information'!$D12,'Course Report'!$J12," ")</f>
        <v xml:space="preserve"> </v>
      </c>
      <c r="L30" s="60" t="str">
        <f>IF('Course Analysis'!L$42='Course Information'!$C12,'Course Report'!$J12," ")</f>
        <v xml:space="preserve"> </v>
      </c>
      <c r="M30" s="60" t="str">
        <f>IF('Course Analysis'!M$42='Course Information'!$D12,'Course Report'!$J12," ")</f>
        <v xml:space="preserve"> </v>
      </c>
      <c r="N30" s="60" t="str">
        <f>IF('Course Analysis'!N$42='Course Information'!$C12,'Course Report'!$J12," ")</f>
        <v xml:space="preserve"> </v>
      </c>
      <c r="O30" s="60" t="str">
        <f>IF('Course Analysis'!O$42='Course Information'!$D12,'Course Report'!$J12," ")</f>
        <v xml:space="preserve"> </v>
      </c>
      <c r="P30" s="60" t="str">
        <f>IF('Course Analysis'!P$42='Course Information'!$C12,'Course Report'!$J12," ")</f>
        <v xml:space="preserve"> </v>
      </c>
      <c r="Q30" s="60" t="str">
        <f>IF('Course Analysis'!Q$42='Course Information'!$D12,'Course Report'!$J12," ")</f>
        <v xml:space="preserve"> </v>
      </c>
      <c r="R30" s="60" t="str">
        <f>IF('Course Analysis'!R$42='Course Information'!$C12,'Course Report'!$J12," ")</f>
        <v xml:space="preserve"> </v>
      </c>
      <c r="S30" s="60" t="str">
        <f>IF('Course Analysis'!S$42='Course Information'!$D12,'Course Report'!$J12," ")</f>
        <v xml:space="preserve"> </v>
      </c>
      <c r="T30" s="60" t="str">
        <f>IF('Course Analysis'!T$42='Course Information'!$C12,'Course Report'!$J12," ")</f>
        <v xml:space="preserve"> </v>
      </c>
      <c r="U30" s="60" t="str">
        <f>IF('Course Analysis'!U$42='Course Information'!$D12,'Course Report'!$J12," ")</f>
        <v xml:space="preserve"> </v>
      </c>
      <c r="V30" s="60" t="str">
        <f>IF('Course Analysis'!V$42='Course Information'!$C12,'Course Report'!$J12," ")</f>
        <v xml:space="preserve"> </v>
      </c>
      <c r="W30" s="60" t="str">
        <f>IF('Course Analysis'!W$42='Course Information'!$D12,'Course Report'!$J12," ")</f>
        <v xml:space="preserve"> </v>
      </c>
      <c r="X30" s="60" t="str">
        <f>IF('Course Analysis'!X$42='Course Information'!$C12,'Course Report'!$J12," ")</f>
        <v xml:space="preserve"> </v>
      </c>
      <c r="Y30" s="60" t="str">
        <f>IF('Course Analysis'!Y$42='Course Information'!$D12,'Course Report'!$J12," ")</f>
        <v xml:space="preserve"> </v>
      </c>
      <c r="AB30" s="6" t="str">
        <f>F41</f>
        <v xml:space="preserve"> </v>
      </c>
    </row>
    <row r="31" spans="1:28" x14ac:dyDescent="0.25">
      <c r="A31" s="22">
        <v>4</v>
      </c>
      <c r="B31" s="60" t="str">
        <f>IF('Course Analysis'!B$42='Course Information'!$C13,'Course Report'!$J13," ")</f>
        <v xml:space="preserve"> </v>
      </c>
      <c r="C31" s="60" t="str">
        <f>IF('Course Analysis'!C$42='Course Information'!$D13,'Course Report'!$J13," ")</f>
        <v xml:space="preserve"> </v>
      </c>
      <c r="D31" s="60" t="str">
        <f>IF('Course Analysis'!D$42='Course Information'!$C13,'Course Report'!$J13," ")</f>
        <v xml:space="preserve"> </v>
      </c>
      <c r="E31" s="60" t="str">
        <f>IF('Course Analysis'!E$42='Course Information'!$D13,'Course Report'!$J13," ")</f>
        <v xml:space="preserve"> </v>
      </c>
      <c r="F31" s="60" t="str">
        <f>IF('Course Analysis'!F$42='Course Information'!$C13,'Course Report'!$J13," ")</f>
        <v xml:space="preserve"> </v>
      </c>
      <c r="G31" s="60" t="str">
        <f>IF('Course Analysis'!G$42='Course Information'!$D13,'Course Report'!$J13," ")</f>
        <v xml:space="preserve"> </v>
      </c>
      <c r="H31" s="60" t="str">
        <f>IF('Course Analysis'!H$42='Course Information'!$C13,'Course Report'!$J13," ")</f>
        <v xml:space="preserve"> </v>
      </c>
      <c r="I31" s="60" t="str">
        <f>IF('Course Analysis'!I$42='Course Information'!$D13,'Course Report'!$J13," ")</f>
        <v xml:space="preserve"> </v>
      </c>
      <c r="J31" s="60" t="str">
        <f>IF('Course Analysis'!J$42='Course Information'!$C13,'Course Report'!$J13," ")</f>
        <v xml:space="preserve"> </v>
      </c>
      <c r="K31" s="60" t="str">
        <f>IF('Course Analysis'!K$42='Course Information'!$D13,'Course Report'!$J13," ")</f>
        <v xml:space="preserve"> </v>
      </c>
      <c r="L31" s="60" t="str">
        <f>IF('Course Analysis'!L$42='Course Information'!$C13,'Course Report'!$J13," ")</f>
        <v xml:space="preserve"> </v>
      </c>
      <c r="M31" s="60" t="str">
        <f>IF('Course Analysis'!M$42='Course Information'!$D13,'Course Report'!$J13," ")</f>
        <v xml:space="preserve"> </v>
      </c>
      <c r="N31" s="60" t="str">
        <f>IF('Course Analysis'!N$42='Course Information'!$C13,'Course Report'!$J13," ")</f>
        <v xml:space="preserve"> </v>
      </c>
      <c r="O31" s="60" t="str">
        <f>IF('Course Analysis'!O$42='Course Information'!$D13,'Course Report'!$J13," ")</f>
        <v xml:space="preserve"> </v>
      </c>
      <c r="P31" s="60" t="str">
        <f>IF('Course Analysis'!P$42='Course Information'!$C13,'Course Report'!$J13," ")</f>
        <v xml:space="preserve"> </v>
      </c>
      <c r="Q31" s="60" t="str">
        <f>IF('Course Analysis'!Q$42='Course Information'!$D13,'Course Report'!$J13," ")</f>
        <v xml:space="preserve"> </v>
      </c>
      <c r="R31" s="60" t="str">
        <f>IF('Course Analysis'!R$42='Course Information'!$C13,'Course Report'!$J13," ")</f>
        <v xml:space="preserve"> </v>
      </c>
      <c r="S31" s="60" t="str">
        <f>IF('Course Analysis'!S$42='Course Information'!$D13,'Course Report'!$J13," ")</f>
        <v xml:space="preserve"> </v>
      </c>
      <c r="T31" s="60" t="str">
        <f>IF('Course Analysis'!T$42='Course Information'!$C13,'Course Report'!$J13," ")</f>
        <v xml:space="preserve"> </v>
      </c>
      <c r="U31" s="60" t="str">
        <f>IF('Course Analysis'!U$42='Course Information'!$D13,'Course Report'!$J13," ")</f>
        <v xml:space="preserve"> </v>
      </c>
      <c r="V31" s="60" t="str">
        <f>IF('Course Analysis'!V$42='Course Information'!$C13,'Course Report'!$J13," ")</f>
        <v xml:space="preserve"> </v>
      </c>
      <c r="W31" s="60" t="str">
        <f>IF('Course Analysis'!W$42='Course Information'!$D13,'Course Report'!$J13," ")</f>
        <v xml:space="preserve"> </v>
      </c>
      <c r="X31" s="60" t="str">
        <f>IF('Course Analysis'!X$42='Course Information'!$C13,'Course Report'!$J13," ")</f>
        <v xml:space="preserve"> </v>
      </c>
      <c r="Y31" s="60" t="str">
        <f>IF('Course Analysis'!Y$42='Course Information'!$D13,'Course Report'!$J13," ")</f>
        <v xml:space="preserve"> </v>
      </c>
      <c r="AB31" s="6" t="str">
        <f>H41</f>
        <v xml:space="preserve"> </v>
      </c>
    </row>
    <row r="32" spans="1:28" x14ac:dyDescent="0.25">
      <c r="A32" s="22">
        <v>5</v>
      </c>
      <c r="B32" s="60" t="str">
        <f>IF('Course Analysis'!B$42='Course Information'!$C14,'Course Report'!$J14," ")</f>
        <v xml:space="preserve"> </v>
      </c>
      <c r="C32" s="60" t="str">
        <f>IF('Course Analysis'!C$42='Course Information'!$D14,'Course Report'!$J14," ")</f>
        <v xml:space="preserve"> </v>
      </c>
      <c r="D32" s="60" t="str">
        <f>IF('Course Analysis'!D$42='Course Information'!$C14,'Course Report'!$J14," ")</f>
        <v xml:space="preserve"> </v>
      </c>
      <c r="E32" s="60" t="str">
        <f>IF('Course Analysis'!E$42='Course Information'!$D14,'Course Report'!$J14," ")</f>
        <v xml:space="preserve"> </v>
      </c>
      <c r="F32" s="60" t="str">
        <f>IF('Course Analysis'!F$42='Course Information'!$C14,'Course Report'!$J14," ")</f>
        <v xml:space="preserve"> </v>
      </c>
      <c r="G32" s="60" t="str">
        <f>IF('Course Analysis'!G$42='Course Information'!$D14,'Course Report'!$J14," ")</f>
        <v xml:space="preserve"> </v>
      </c>
      <c r="H32" s="60" t="str">
        <f>IF('Course Analysis'!H$42='Course Information'!$C14,'Course Report'!$J14," ")</f>
        <v xml:space="preserve"> </v>
      </c>
      <c r="I32" s="60" t="str">
        <f>IF('Course Analysis'!I$42='Course Information'!$D14,'Course Report'!$J14," ")</f>
        <v xml:space="preserve"> </v>
      </c>
      <c r="J32" s="60" t="str">
        <f>IF('Course Analysis'!J$42='Course Information'!$C14,'Course Report'!$J14," ")</f>
        <v xml:space="preserve"> </v>
      </c>
      <c r="K32" s="60" t="str">
        <f>IF('Course Analysis'!K$42='Course Information'!$D14,'Course Report'!$J14," ")</f>
        <v xml:space="preserve"> </v>
      </c>
      <c r="L32" s="60" t="str">
        <f>IF('Course Analysis'!L$42='Course Information'!$C14,'Course Report'!$J14," ")</f>
        <v xml:space="preserve"> </v>
      </c>
      <c r="M32" s="60" t="str">
        <f>IF('Course Analysis'!M$42='Course Information'!$D14,'Course Report'!$J14," ")</f>
        <v xml:space="preserve"> </v>
      </c>
      <c r="N32" s="60" t="str">
        <f>IF('Course Analysis'!N$42='Course Information'!$C14,'Course Report'!$J14," ")</f>
        <v xml:space="preserve"> </v>
      </c>
      <c r="O32" s="60" t="str">
        <f>IF('Course Analysis'!O$42='Course Information'!$D14,'Course Report'!$J14," ")</f>
        <v xml:space="preserve"> </v>
      </c>
      <c r="P32" s="60" t="str">
        <f>IF('Course Analysis'!P$42='Course Information'!$C14,'Course Report'!$J14," ")</f>
        <v xml:space="preserve"> </v>
      </c>
      <c r="Q32" s="60" t="str">
        <f>IF('Course Analysis'!Q$42='Course Information'!$D14,'Course Report'!$J14," ")</f>
        <v xml:space="preserve"> </v>
      </c>
      <c r="R32" s="60" t="str">
        <f>IF('Course Analysis'!R$42='Course Information'!$C14,'Course Report'!$J14," ")</f>
        <v xml:space="preserve"> </v>
      </c>
      <c r="S32" s="60" t="str">
        <f>IF('Course Analysis'!S$42='Course Information'!$D14,'Course Report'!$J14," ")</f>
        <v xml:space="preserve"> </v>
      </c>
      <c r="T32" s="60" t="str">
        <f>IF('Course Analysis'!T$42='Course Information'!$C14,'Course Report'!$J14," ")</f>
        <v xml:space="preserve"> </v>
      </c>
      <c r="U32" s="60" t="str">
        <f>IF('Course Analysis'!U$42='Course Information'!$D14,'Course Report'!$J14," ")</f>
        <v xml:space="preserve"> </v>
      </c>
      <c r="V32" s="60" t="str">
        <f>IF('Course Analysis'!V$42='Course Information'!$C14,'Course Report'!$J14," ")</f>
        <v xml:space="preserve"> </v>
      </c>
      <c r="W32" s="60" t="str">
        <f>IF('Course Analysis'!W$42='Course Information'!$D14,'Course Report'!$J14," ")</f>
        <v xml:space="preserve"> </v>
      </c>
      <c r="X32" s="60" t="str">
        <f>IF('Course Analysis'!X$42='Course Information'!$C14,'Course Report'!$J14," ")</f>
        <v xml:space="preserve"> </v>
      </c>
      <c r="Y32" s="60" t="str">
        <f>IF('Course Analysis'!Y$42='Course Information'!$D14,'Course Report'!$J14," ")</f>
        <v xml:space="preserve"> </v>
      </c>
      <c r="AB32" s="60" t="str">
        <f>J41</f>
        <v xml:space="preserve"> </v>
      </c>
    </row>
    <row r="33" spans="1:28" x14ac:dyDescent="0.25">
      <c r="A33" s="22">
        <v>6</v>
      </c>
      <c r="B33" s="60" t="str">
        <f>IF('Course Analysis'!B$42='Course Information'!$C15,'Course Report'!$J15," ")</f>
        <v xml:space="preserve"> </v>
      </c>
      <c r="C33" s="60" t="str">
        <f>IF('Course Analysis'!C$42='Course Information'!$D15,'Course Report'!$J15," ")</f>
        <v xml:space="preserve"> </v>
      </c>
      <c r="D33" s="60" t="str">
        <f>IF('Course Analysis'!D$42='Course Information'!$C15,'Course Report'!$J15," ")</f>
        <v xml:space="preserve"> </v>
      </c>
      <c r="E33" s="60" t="str">
        <f>IF('Course Analysis'!E$42='Course Information'!$D15,'Course Report'!$J15," ")</f>
        <v xml:space="preserve"> </v>
      </c>
      <c r="F33" s="60" t="str">
        <f>IF('Course Analysis'!F$42='Course Information'!$C15,'Course Report'!$J15," ")</f>
        <v xml:space="preserve"> </v>
      </c>
      <c r="G33" s="60" t="str">
        <f>IF('Course Analysis'!G$42='Course Information'!$D15,'Course Report'!$J15," ")</f>
        <v xml:space="preserve"> </v>
      </c>
      <c r="H33" s="60" t="str">
        <f>IF('Course Analysis'!H$42='Course Information'!$C15,'Course Report'!$J15," ")</f>
        <v xml:space="preserve"> </v>
      </c>
      <c r="I33" s="60" t="str">
        <f>IF('Course Analysis'!I$42='Course Information'!$D15,'Course Report'!$J15," ")</f>
        <v xml:space="preserve"> </v>
      </c>
      <c r="J33" s="60" t="str">
        <f>IF('Course Analysis'!J$42='Course Information'!$C15,'Course Report'!$J15," ")</f>
        <v xml:space="preserve"> </v>
      </c>
      <c r="K33" s="60" t="str">
        <f>IF('Course Analysis'!K$42='Course Information'!$D15,'Course Report'!$J15," ")</f>
        <v xml:space="preserve"> </v>
      </c>
      <c r="L33" s="60" t="str">
        <f>IF('Course Analysis'!L$42='Course Information'!$C15,'Course Report'!$J15," ")</f>
        <v xml:space="preserve"> </v>
      </c>
      <c r="M33" s="60" t="str">
        <f>IF('Course Analysis'!M$42='Course Information'!$D15,'Course Report'!$J15," ")</f>
        <v xml:space="preserve"> </v>
      </c>
      <c r="N33" s="60" t="str">
        <f>IF('Course Analysis'!N$42='Course Information'!$C15,'Course Report'!$J15," ")</f>
        <v xml:space="preserve"> </v>
      </c>
      <c r="O33" s="60" t="str">
        <f>IF('Course Analysis'!O$42='Course Information'!$D15,'Course Report'!$J15," ")</f>
        <v xml:space="preserve"> </v>
      </c>
      <c r="P33" s="60" t="str">
        <f>IF('Course Analysis'!P$42='Course Information'!$C15,'Course Report'!$J15," ")</f>
        <v xml:space="preserve"> </v>
      </c>
      <c r="Q33" s="60" t="str">
        <f>IF('Course Analysis'!Q$42='Course Information'!$D15,'Course Report'!$J15," ")</f>
        <v xml:space="preserve"> </v>
      </c>
      <c r="R33" s="60" t="str">
        <f>IF('Course Analysis'!R$42='Course Information'!$C15,'Course Report'!$J15," ")</f>
        <v xml:space="preserve"> </v>
      </c>
      <c r="S33" s="60" t="str">
        <f>IF('Course Analysis'!S$42='Course Information'!$D15,'Course Report'!$J15," ")</f>
        <v xml:space="preserve"> </v>
      </c>
      <c r="T33" s="60" t="str">
        <f>IF('Course Analysis'!T$42='Course Information'!$C15,'Course Report'!$J15," ")</f>
        <v xml:space="preserve"> </v>
      </c>
      <c r="U33" s="60" t="str">
        <f>IF('Course Analysis'!U$42='Course Information'!$D15,'Course Report'!$J15," ")</f>
        <v xml:space="preserve"> </v>
      </c>
      <c r="V33" s="60" t="str">
        <f>IF('Course Analysis'!V$42='Course Information'!$C15,'Course Report'!$J15," ")</f>
        <v xml:space="preserve"> </v>
      </c>
      <c r="W33" s="60" t="str">
        <f>IF('Course Analysis'!W$42='Course Information'!$D15,'Course Report'!$J15," ")</f>
        <v xml:space="preserve"> </v>
      </c>
      <c r="X33" s="60" t="str">
        <f>IF('Course Analysis'!X$42='Course Information'!$C15,'Course Report'!$J15," ")</f>
        <v xml:space="preserve"> </v>
      </c>
      <c r="Y33" s="60" t="str">
        <f>IF('Course Analysis'!Y$42='Course Information'!$D15,'Course Report'!$J15," ")</f>
        <v xml:space="preserve"> </v>
      </c>
      <c r="AB33" s="6" t="str">
        <f>L41</f>
        <v xml:space="preserve"> </v>
      </c>
    </row>
    <row r="34" spans="1:28" x14ac:dyDescent="0.25">
      <c r="A34" s="22">
        <v>7</v>
      </c>
      <c r="B34" s="60" t="str">
        <f>IF('Course Analysis'!B$42='Course Information'!$C16,'Course Report'!$J16," ")</f>
        <v xml:space="preserve"> </v>
      </c>
      <c r="C34" s="60" t="str">
        <f>IF('Course Analysis'!C$42='Course Information'!$D16,'Course Report'!$J16," ")</f>
        <v xml:space="preserve"> </v>
      </c>
      <c r="D34" s="60" t="str">
        <f>IF('Course Analysis'!D$42='Course Information'!$C16,'Course Report'!$J16," ")</f>
        <v xml:space="preserve"> </v>
      </c>
      <c r="E34" s="60" t="str">
        <f>IF('Course Analysis'!E$42='Course Information'!$D16,'Course Report'!$J16," ")</f>
        <v xml:space="preserve"> </v>
      </c>
      <c r="F34" s="60" t="str">
        <f>IF('Course Analysis'!F$42='Course Information'!$C16,'Course Report'!$J16," ")</f>
        <v xml:space="preserve"> </v>
      </c>
      <c r="G34" s="60" t="str">
        <f>IF('Course Analysis'!G$42='Course Information'!$D16,'Course Report'!$J16," ")</f>
        <v xml:space="preserve"> </v>
      </c>
      <c r="H34" s="60" t="str">
        <f>IF('Course Analysis'!H$42='Course Information'!$C16,'Course Report'!$J16," ")</f>
        <v xml:space="preserve"> </v>
      </c>
      <c r="I34" s="60" t="str">
        <f>IF('Course Analysis'!I$42='Course Information'!$D16,'Course Report'!$J16," ")</f>
        <v xml:space="preserve"> </v>
      </c>
      <c r="J34" s="60" t="str">
        <f>IF('Course Analysis'!J$42='Course Information'!$C16,'Course Report'!$J16," ")</f>
        <v xml:space="preserve"> </v>
      </c>
      <c r="K34" s="60" t="str">
        <f>IF('Course Analysis'!K$42='Course Information'!$D16,'Course Report'!$J16," ")</f>
        <v xml:space="preserve"> </v>
      </c>
      <c r="L34" s="60" t="str">
        <f>IF('Course Analysis'!L$42='Course Information'!$C16,'Course Report'!$J16," ")</f>
        <v xml:space="preserve"> </v>
      </c>
      <c r="M34" s="60" t="str">
        <f>IF('Course Analysis'!M$42='Course Information'!$D16,'Course Report'!$J16," ")</f>
        <v xml:space="preserve"> </v>
      </c>
      <c r="N34" s="60" t="str">
        <f>IF('Course Analysis'!N$42='Course Information'!$C16,'Course Report'!$J16," ")</f>
        <v xml:space="preserve"> </v>
      </c>
      <c r="O34" s="60" t="str">
        <f>IF('Course Analysis'!O$42='Course Information'!$D16,'Course Report'!$J16," ")</f>
        <v xml:space="preserve"> </v>
      </c>
      <c r="P34" s="60" t="str">
        <f>IF('Course Analysis'!P$42='Course Information'!$C16,'Course Report'!$J16," ")</f>
        <v xml:space="preserve"> </v>
      </c>
      <c r="Q34" s="60" t="str">
        <f>IF('Course Analysis'!Q$42='Course Information'!$D16,'Course Report'!$J16," ")</f>
        <v xml:space="preserve"> </v>
      </c>
      <c r="R34" s="60" t="str">
        <f>IF('Course Analysis'!R$42='Course Information'!$C16,'Course Report'!$J16," ")</f>
        <v xml:space="preserve"> </v>
      </c>
      <c r="S34" s="60" t="str">
        <f>IF('Course Analysis'!S$42='Course Information'!$D16,'Course Report'!$J16," ")</f>
        <v xml:space="preserve"> </v>
      </c>
      <c r="T34" s="60" t="str">
        <f>IF('Course Analysis'!T$42='Course Information'!$C16,'Course Report'!$J16," ")</f>
        <v xml:space="preserve"> </v>
      </c>
      <c r="U34" s="60" t="str">
        <f>IF('Course Analysis'!U$42='Course Information'!$D16,'Course Report'!$J16," ")</f>
        <v xml:space="preserve"> </v>
      </c>
      <c r="V34" s="60" t="str">
        <f>IF('Course Analysis'!V$42='Course Information'!$C16,'Course Report'!$J16," ")</f>
        <v xml:space="preserve"> </v>
      </c>
      <c r="W34" s="60" t="str">
        <f>IF('Course Analysis'!W$42='Course Information'!$D16,'Course Report'!$J16," ")</f>
        <v xml:space="preserve"> </v>
      </c>
      <c r="X34" s="60" t="str">
        <f>IF('Course Analysis'!X$42='Course Information'!$C16,'Course Report'!$J16," ")</f>
        <v xml:space="preserve"> </v>
      </c>
      <c r="Y34" s="60" t="str">
        <f>IF('Course Analysis'!Y$42='Course Information'!$D16,'Course Report'!$J16," ")</f>
        <v xml:space="preserve"> </v>
      </c>
      <c r="AB34" s="6" t="str">
        <f>N41</f>
        <v xml:space="preserve"> </v>
      </c>
    </row>
    <row r="35" spans="1:28" x14ac:dyDescent="0.25">
      <c r="A35" s="22">
        <v>8</v>
      </c>
      <c r="B35" s="60" t="str">
        <f>IF('Course Analysis'!B$42='Course Information'!$C17,'Course Report'!$J17," ")</f>
        <v xml:space="preserve"> </v>
      </c>
      <c r="C35" s="60" t="str">
        <f>IF('Course Analysis'!C$42='Course Information'!$D17,'Course Report'!$J17," ")</f>
        <v xml:space="preserve"> </v>
      </c>
      <c r="D35" s="60" t="str">
        <f>IF('Course Analysis'!D$42='Course Information'!$C17,'Course Report'!$J17," ")</f>
        <v xml:space="preserve"> </v>
      </c>
      <c r="E35" s="60" t="str">
        <f>IF('Course Analysis'!E$42='Course Information'!$D17,'Course Report'!$J17," ")</f>
        <v xml:space="preserve"> </v>
      </c>
      <c r="F35" s="60" t="str">
        <f>IF('Course Analysis'!F$42='Course Information'!$C17,'Course Report'!$J17," ")</f>
        <v xml:space="preserve"> </v>
      </c>
      <c r="G35" s="60" t="str">
        <f>IF('Course Analysis'!G$42='Course Information'!$D17,'Course Report'!$J17," ")</f>
        <v xml:space="preserve"> </v>
      </c>
      <c r="H35" s="60" t="str">
        <f>IF('Course Analysis'!H$42='Course Information'!$C17,'Course Report'!$J17," ")</f>
        <v xml:space="preserve"> </v>
      </c>
      <c r="I35" s="60" t="str">
        <f>IF('Course Analysis'!I$42='Course Information'!$D17,'Course Report'!$J17," ")</f>
        <v xml:space="preserve"> </v>
      </c>
      <c r="J35" s="60" t="str">
        <f>IF('Course Analysis'!J$42='Course Information'!$C17,'Course Report'!$J17," ")</f>
        <v xml:space="preserve"> </v>
      </c>
      <c r="K35" s="60" t="str">
        <f>IF('Course Analysis'!K$42='Course Information'!$D17,'Course Report'!$J17," ")</f>
        <v xml:space="preserve"> </v>
      </c>
      <c r="L35" s="60" t="str">
        <f>IF('Course Analysis'!L$42='Course Information'!$C17,'Course Report'!$J17," ")</f>
        <v xml:space="preserve"> </v>
      </c>
      <c r="M35" s="60" t="str">
        <f>IF('Course Analysis'!M$42='Course Information'!$D17,'Course Report'!$J17," ")</f>
        <v xml:space="preserve"> </v>
      </c>
      <c r="N35" s="60" t="str">
        <f>IF('Course Analysis'!N$42='Course Information'!$C17,'Course Report'!$J17," ")</f>
        <v xml:space="preserve"> </v>
      </c>
      <c r="O35" s="60" t="str">
        <f>IF('Course Analysis'!O$42='Course Information'!$D17,'Course Report'!$J17," ")</f>
        <v xml:space="preserve"> </v>
      </c>
      <c r="P35" s="60" t="str">
        <f>IF('Course Analysis'!P$42='Course Information'!$C17,'Course Report'!$J17," ")</f>
        <v xml:space="preserve"> </v>
      </c>
      <c r="Q35" s="60" t="str">
        <f>IF('Course Analysis'!Q$42='Course Information'!$D17,'Course Report'!$J17," ")</f>
        <v xml:space="preserve"> </v>
      </c>
      <c r="R35" s="60" t="str">
        <f>IF('Course Analysis'!R$42='Course Information'!$C17,'Course Report'!$J17," ")</f>
        <v xml:space="preserve"> </v>
      </c>
      <c r="S35" s="60" t="str">
        <f>IF('Course Analysis'!S$42='Course Information'!$D17,'Course Report'!$J17," ")</f>
        <v xml:space="preserve"> </v>
      </c>
      <c r="T35" s="60" t="str">
        <f>IF('Course Analysis'!T$42='Course Information'!$C17,'Course Report'!$J17," ")</f>
        <v xml:space="preserve"> </v>
      </c>
      <c r="U35" s="60" t="str">
        <f>IF('Course Analysis'!U$42='Course Information'!$D17,'Course Report'!$J17," ")</f>
        <v xml:space="preserve"> </v>
      </c>
      <c r="V35" s="60" t="str">
        <f>IF('Course Analysis'!V$42='Course Information'!$C17,'Course Report'!$J17," ")</f>
        <v xml:space="preserve"> </v>
      </c>
      <c r="W35" s="60" t="str">
        <f>IF('Course Analysis'!W$42='Course Information'!$D17,'Course Report'!$J17," ")</f>
        <v xml:space="preserve"> </v>
      </c>
      <c r="X35" s="60" t="str">
        <f>IF('Course Analysis'!X$42='Course Information'!$C17,'Course Report'!$J17," ")</f>
        <v xml:space="preserve"> </v>
      </c>
      <c r="Y35" s="60" t="str">
        <f>IF('Course Analysis'!Y$42='Course Information'!$D17,'Course Report'!$J17," ")</f>
        <v xml:space="preserve"> </v>
      </c>
      <c r="AB35" s="6" t="str">
        <f>P41</f>
        <v xml:space="preserve"> </v>
      </c>
    </row>
    <row r="36" spans="1:28" x14ac:dyDescent="0.25">
      <c r="A36" s="22">
        <v>9</v>
      </c>
      <c r="B36" s="60" t="str">
        <f>IF('Course Analysis'!B$42='Course Information'!$C18,'Course Report'!$J18," ")</f>
        <v xml:space="preserve"> </v>
      </c>
      <c r="C36" s="60" t="str">
        <f>IF('Course Analysis'!C$42='Course Information'!$D18,'Course Report'!$J18," ")</f>
        <v xml:space="preserve"> </v>
      </c>
      <c r="D36" s="60" t="str">
        <f>IF('Course Analysis'!D$42='Course Information'!$C18,'Course Report'!$J18," ")</f>
        <v xml:space="preserve"> </v>
      </c>
      <c r="E36" s="60" t="str">
        <f>IF('Course Analysis'!E$42='Course Information'!$D18,'Course Report'!$J18," ")</f>
        <v xml:space="preserve"> </v>
      </c>
      <c r="F36" s="60" t="str">
        <f>IF('Course Analysis'!F$42='Course Information'!$C18,'Course Report'!$J18," ")</f>
        <v xml:space="preserve"> </v>
      </c>
      <c r="G36" s="60" t="str">
        <f>IF('Course Analysis'!G$42='Course Information'!$D18,'Course Report'!$J18," ")</f>
        <v xml:space="preserve"> </v>
      </c>
      <c r="H36" s="60" t="str">
        <f>IF('Course Analysis'!H$42='Course Information'!$C18,'Course Report'!$J18," ")</f>
        <v xml:space="preserve"> </v>
      </c>
      <c r="I36" s="60" t="str">
        <f>IF('Course Analysis'!I$42='Course Information'!$D18,'Course Report'!$J18," ")</f>
        <v xml:space="preserve"> </v>
      </c>
      <c r="J36" s="60" t="str">
        <f>IF('Course Analysis'!J$42='Course Information'!$C18,'Course Report'!$J18," ")</f>
        <v xml:space="preserve"> </v>
      </c>
      <c r="K36" s="60" t="str">
        <f>IF('Course Analysis'!K$42='Course Information'!$D18,'Course Report'!$J18," ")</f>
        <v xml:space="preserve"> </v>
      </c>
      <c r="L36" s="60" t="str">
        <f>IF('Course Analysis'!L$42='Course Information'!$C18,'Course Report'!$J18," ")</f>
        <v xml:space="preserve"> </v>
      </c>
      <c r="M36" s="60" t="str">
        <f>IF('Course Analysis'!M$42='Course Information'!$D18,'Course Report'!$J18," ")</f>
        <v xml:space="preserve"> </v>
      </c>
      <c r="N36" s="60" t="str">
        <f>IF('Course Analysis'!N$42='Course Information'!$C18,'Course Report'!$J18," ")</f>
        <v xml:space="preserve"> </v>
      </c>
      <c r="O36" s="60" t="str">
        <f>IF('Course Analysis'!O$42='Course Information'!$D18,'Course Report'!$J18," ")</f>
        <v xml:space="preserve"> </v>
      </c>
      <c r="P36" s="60" t="str">
        <f>IF('Course Analysis'!P$42='Course Information'!$C18,'Course Report'!$J18," ")</f>
        <v xml:space="preserve"> </v>
      </c>
      <c r="Q36" s="60" t="str">
        <f>IF('Course Analysis'!Q$42='Course Information'!$D18,'Course Report'!$J18," ")</f>
        <v xml:space="preserve"> </v>
      </c>
      <c r="R36" s="60" t="str">
        <f>IF('Course Analysis'!R$42='Course Information'!$C18,'Course Report'!$J18," ")</f>
        <v xml:space="preserve"> </v>
      </c>
      <c r="S36" s="60" t="str">
        <f>IF('Course Analysis'!S$42='Course Information'!$D18,'Course Report'!$J18," ")</f>
        <v xml:space="preserve"> </v>
      </c>
      <c r="T36" s="60" t="str">
        <f>IF('Course Analysis'!T$42='Course Information'!$C18,'Course Report'!$J18," ")</f>
        <v xml:space="preserve"> </v>
      </c>
      <c r="U36" s="60" t="str">
        <f>IF('Course Analysis'!U$42='Course Information'!$D18,'Course Report'!$J18," ")</f>
        <v xml:space="preserve"> </v>
      </c>
      <c r="V36" s="60" t="str">
        <f>IF('Course Analysis'!V$42='Course Information'!$C18,'Course Report'!$J18," ")</f>
        <v xml:space="preserve"> </v>
      </c>
      <c r="W36" s="60" t="str">
        <f>IF('Course Analysis'!W$42='Course Information'!$D18,'Course Report'!$J18," ")</f>
        <v xml:space="preserve"> </v>
      </c>
      <c r="X36" s="60" t="str">
        <f>IF('Course Analysis'!X$42='Course Information'!$C18,'Course Report'!$J18," ")</f>
        <v xml:space="preserve"> </v>
      </c>
      <c r="Y36" s="60" t="str">
        <f>IF('Course Analysis'!Y$42='Course Information'!$D18,'Course Report'!$J18," ")</f>
        <v xml:space="preserve"> </v>
      </c>
      <c r="AB36" s="6" t="str">
        <f>R41</f>
        <v xml:space="preserve"> </v>
      </c>
    </row>
    <row r="37" spans="1:28" x14ac:dyDescent="0.25">
      <c r="A37" s="22">
        <v>10</v>
      </c>
      <c r="B37" s="60" t="str">
        <f>IF('Course Analysis'!B$42='Course Information'!$C19,'Course Report'!$J19," ")</f>
        <v xml:space="preserve"> </v>
      </c>
      <c r="C37" s="60" t="str">
        <f>IF('Course Analysis'!C$42='Course Information'!$D19,'Course Report'!$J19," ")</f>
        <v xml:space="preserve"> </v>
      </c>
      <c r="D37" s="60" t="str">
        <f>IF('Course Analysis'!D$42='Course Information'!$C19,'Course Report'!$J19," ")</f>
        <v xml:space="preserve"> </v>
      </c>
      <c r="E37" s="60" t="str">
        <f>IF('Course Analysis'!E$42='Course Information'!$D19,'Course Report'!$J19," ")</f>
        <v xml:space="preserve"> </v>
      </c>
      <c r="F37" s="60" t="str">
        <f>IF('Course Analysis'!F$42='Course Information'!$C19,'Course Report'!$J19," ")</f>
        <v xml:space="preserve"> </v>
      </c>
      <c r="G37" s="60" t="str">
        <f>IF('Course Analysis'!G$42='Course Information'!$D19,'Course Report'!$J19," ")</f>
        <v xml:space="preserve"> </v>
      </c>
      <c r="H37" s="60" t="str">
        <f>IF('Course Analysis'!H$42='Course Information'!$C19,'Course Report'!$J19," ")</f>
        <v xml:space="preserve"> </v>
      </c>
      <c r="I37" s="60" t="str">
        <f>IF('Course Analysis'!I$42='Course Information'!$D19,'Course Report'!$J19," ")</f>
        <v xml:space="preserve"> </v>
      </c>
      <c r="J37" s="60" t="str">
        <f>IF('Course Analysis'!J$42='Course Information'!$C19,'Course Report'!$J19," ")</f>
        <v xml:space="preserve"> </v>
      </c>
      <c r="K37" s="60" t="str">
        <f>IF('Course Analysis'!K$42='Course Information'!$D19,'Course Report'!$J19," ")</f>
        <v xml:space="preserve"> </v>
      </c>
      <c r="L37" s="60" t="str">
        <f>IF('Course Analysis'!L$42='Course Information'!$C19,'Course Report'!$J19," ")</f>
        <v xml:space="preserve"> </v>
      </c>
      <c r="M37" s="60" t="str">
        <f>IF('Course Analysis'!M$42='Course Information'!$D19,'Course Report'!$J19," ")</f>
        <v xml:space="preserve"> </v>
      </c>
      <c r="N37" s="60" t="str">
        <f>IF('Course Analysis'!N$42='Course Information'!$C19,'Course Report'!$J19," ")</f>
        <v xml:space="preserve"> </v>
      </c>
      <c r="O37" s="60" t="str">
        <f>IF('Course Analysis'!O$42='Course Information'!$D19,'Course Report'!$J19," ")</f>
        <v xml:space="preserve"> </v>
      </c>
      <c r="P37" s="60" t="str">
        <f>IF('Course Analysis'!P$42='Course Information'!$C19,'Course Report'!$J19," ")</f>
        <v xml:space="preserve"> </v>
      </c>
      <c r="Q37" s="60" t="str">
        <f>IF('Course Analysis'!Q$42='Course Information'!$D19,'Course Report'!$J19," ")</f>
        <v xml:space="preserve"> </v>
      </c>
      <c r="R37" s="60" t="str">
        <f>IF('Course Analysis'!R$42='Course Information'!$C19,'Course Report'!$J19," ")</f>
        <v xml:space="preserve"> </v>
      </c>
      <c r="S37" s="60" t="str">
        <f>IF('Course Analysis'!S$42='Course Information'!$D19,'Course Report'!$J19," ")</f>
        <v xml:space="preserve"> </v>
      </c>
      <c r="T37" s="60" t="str">
        <f>IF('Course Analysis'!T$42='Course Information'!$C19,'Course Report'!$J19," ")</f>
        <v xml:space="preserve"> </v>
      </c>
      <c r="U37" s="60" t="str">
        <f>IF('Course Analysis'!U$42='Course Information'!$D19,'Course Report'!$J19," ")</f>
        <v xml:space="preserve"> </v>
      </c>
      <c r="V37" s="60" t="str">
        <f>IF('Course Analysis'!V$42='Course Information'!$C19,'Course Report'!$J19," ")</f>
        <v xml:space="preserve"> </v>
      </c>
      <c r="W37" s="60" t="str">
        <f>IF('Course Analysis'!W$42='Course Information'!$D19,'Course Report'!$J19," ")</f>
        <v xml:space="preserve"> </v>
      </c>
      <c r="X37" s="60" t="str">
        <f>IF('Course Analysis'!X$42='Course Information'!$C19,'Course Report'!$J19," ")</f>
        <v xml:space="preserve"> </v>
      </c>
      <c r="Y37" s="60" t="str">
        <f>IF('Course Analysis'!Y$42='Course Information'!$D19,'Course Report'!$J19," ")</f>
        <v xml:space="preserve"> </v>
      </c>
      <c r="AB37" s="6" t="str">
        <f>T41</f>
        <v xml:space="preserve"> </v>
      </c>
    </row>
    <row r="38" spans="1:28" x14ac:dyDescent="0.25">
      <c r="A38" s="22">
        <v>11</v>
      </c>
      <c r="B38" s="60" t="str">
        <f>IF('Course Analysis'!B$42='Course Information'!$C20,'Course Report'!$J20," ")</f>
        <v xml:space="preserve"> </v>
      </c>
      <c r="C38" s="60" t="str">
        <f>IF('Course Analysis'!C$42='Course Information'!$D20,'Course Report'!$J20," ")</f>
        <v xml:space="preserve"> </v>
      </c>
      <c r="D38" s="60" t="str">
        <f>IF('Course Analysis'!D$42='Course Information'!$C20,'Course Report'!$J20," ")</f>
        <v xml:space="preserve"> </v>
      </c>
      <c r="E38" s="60" t="str">
        <f>IF('Course Analysis'!E$42='Course Information'!$D20,'Course Report'!$J20," ")</f>
        <v xml:space="preserve"> </v>
      </c>
      <c r="F38" s="60" t="str">
        <f>IF('Course Analysis'!F$42='Course Information'!$C20,'Course Report'!$J20," ")</f>
        <v xml:space="preserve"> </v>
      </c>
      <c r="G38" s="60" t="str">
        <f>IF('Course Analysis'!G$42='Course Information'!$D20,'Course Report'!$J20," ")</f>
        <v xml:space="preserve"> </v>
      </c>
      <c r="H38" s="60" t="str">
        <f>IF('Course Analysis'!H$42='Course Information'!$C20,'Course Report'!$J20," ")</f>
        <v xml:space="preserve"> </v>
      </c>
      <c r="I38" s="60" t="str">
        <f>IF('Course Analysis'!I$42='Course Information'!$D20,'Course Report'!$J20," ")</f>
        <v xml:space="preserve"> </v>
      </c>
      <c r="J38" s="60" t="str">
        <f>IF('Course Analysis'!J$42='Course Information'!$C20,'Course Report'!$J20," ")</f>
        <v xml:space="preserve"> </v>
      </c>
      <c r="K38" s="60" t="str">
        <f>IF('Course Analysis'!K$42='Course Information'!$D20,'Course Report'!$J20," ")</f>
        <v xml:space="preserve"> </v>
      </c>
      <c r="L38" s="60" t="str">
        <f>IF('Course Analysis'!L$42='Course Information'!$C20,'Course Report'!$J20," ")</f>
        <v xml:space="preserve"> </v>
      </c>
      <c r="M38" s="60" t="str">
        <f>IF('Course Analysis'!M$42='Course Information'!$D20,'Course Report'!$J20," ")</f>
        <v xml:space="preserve"> </v>
      </c>
      <c r="N38" s="60" t="str">
        <f>IF('Course Analysis'!N$42='Course Information'!$C20,'Course Report'!$J20," ")</f>
        <v xml:space="preserve"> </v>
      </c>
      <c r="O38" s="60" t="str">
        <f>IF('Course Analysis'!O$42='Course Information'!$D20,'Course Report'!$J20," ")</f>
        <v xml:space="preserve"> </v>
      </c>
      <c r="P38" s="60" t="str">
        <f>IF('Course Analysis'!P$42='Course Information'!$C20,'Course Report'!$J20," ")</f>
        <v xml:space="preserve"> </v>
      </c>
      <c r="Q38" s="60" t="str">
        <f>IF('Course Analysis'!Q$42='Course Information'!$D20,'Course Report'!$J20," ")</f>
        <v xml:space="preserve"> </v>
      </c>
      <c r="R38" s="60" t="str">
        <f>IF('Course Analysis'!R$42='Course Information'!$C20,'Course Report'!$J20," ")</f>
        <v xml:space="preserve"> </v>
      </c>
      <c r="S38" s="60" t="str">
        <f>IF('Course Analysis'!S$42='Course Information'!$D20,'Course Report'!$J20," ")</f>
        <v xml:space="preserve"> </v>
      </c>
      <c r="T38" s="60" t="str">
        <f>IF('Course Analysis'!T$42='Course Information'!$C20,'Course Report'!$J20," ")</f>
        <v xml:space="preserve"> </v>
      </c>
      <c r="U38" s="60" t="str">
        <f>IF('Course Analysis'!U$42='Course Information'!$D20,'Course Report'!$J20," ")</f>
        <v xml:space="preserve"> </v>
      </c>
      <c r="V38" s="60" t="str">
        <f>IF('Course Analysis'!V$42='Course Information'!$C20,'Course Report'!$J20," ")</f>
        <v xml:space="preserve"> </v>
      </c>
      <c r="W38" s="60" t="str">
        <f>IF('Course Analysis'!W$42='Course Information'!$D20,'Course Report'!$J20," ")</f>
        <v xml:space="preserve"> </v>
      </c>
      <c r="X38" s="60" t="str">
        <f>IF('Course Analysis'!X$42='Course Information'!$C20,'Course Report'!$J20," ")</f>
        <v xml:space="preserve"> </v>
      </c>
      <c r="Y38" s="60" t="str">
        <f>IF('Course Analysis'!Y$42='Course Information'!$D20,'Course Report'!$J20," ")</f>
        <v xml:space="preserve"> </v>
      </c>
      <c r="AB38" s="6" t="str">
        <f>V41</f>
        <v xml:space="preserve"> </v>
      </c>
    </row>
    <row r="39" spans="1:28" x14ac:dyDescent="0.25">
      <c r="A39" s="22">
        <v>12</v>
      </c>
      <c r="B39" s="60" t="str">
        <f>IF('Course Analysis'!B$42='Course Information'!$C21,'Course Report'!$J21," ")</f>
        <v xml:space="preserve"> </v>
      </c>
      <c r="C39" s="60" t="str">
        <f>IF('Course Analysis'!C$42='Course Information'!$D21,'Course Report'!$J21," ")</f>
        <v xml:space="preserve"> </v>
      </c>
      <c r="D39" s="60" t="str">
        <f>IF('Course Analysis'!D$42='Course Information'!$C21,'Course Report'!$J21," ")</f>
        <v xml:space="preserve"> </v>
      </c>
      <c r="E39" s="60" t="str">
        <f>IF('Course Analysis'!E$42='Course Information'!$D21,'Course Report'!$J21," ")</f>
        <v xml:space="preserve"> </v>
      </c>
      <c r="F39" s="60" t="str">
        <f>IF('Course Analysis'!F$42='Course Information'!$C21,'Course Report'!$J21," ")</f>
        <v xml:space="preserve"> </v>
      </c>
      <c r="G39" s="60" t="str">
        <f>IF('Course Analysis'!G$42='Course Information'!$D21,'Course Report'!$J21," ")</f>
        <v xml:space="preserve"> </v>
      </c>
      <c r="H39" s="60" t="str">
        <f>IF('Course Analysis'!H$42='Course Information'!$C21,'Course Report'!$J21," ")</f>
        <v xml:space="preserve"> </v>
      </c>
      <c r="I39" s="60" t="str">
        <f>IF('Course Analysis'!I$42='Course Information'!$D21,'Course Report'!$J21," ")</f>
        <v xml:space="preserve"> </v>
      </c>
      <c r="J39" s="60" t="str">
        <f>IF('Course Analysis'!J$42='Course Information'!$C21,'Course Report'!$J21," ")</f>
        <v xml:space="preserve"> </v>
      </c>
      <c r="K39" s="60" t="str">
        <f>IF('Course Analysis'!K$42='Course Information'!$D21,'Course Report'!$J21," ")</f>
        <v xml:space="preserve"> </v>
      </c>
      <c r="L39" s="60" t="str">
        <f>IF('Course Analysis'!L$42='Course Information'!$C21,'Course Report'!$J21," ")</f>
        <v xml:space="preserve"> </v>
      </c>
      <c r="M39" s="60" t="str">
        <f>IF('Course Analysis'!M$42='Course Information'!$D21,'Course Report'!$J21," ")</f>
        <v xml:space="preserve"> </v>
      </c>
      <c r="N39" s="60" t="str">
        <f>IF('Course Analysis'!N$42='Course Information'!$C21,'Course Report'!$J21," ")</f>
        <v xml:space="preserve"> </v>
      </c>
      <c r="O39" s="60" t="str">
        <f>IF('Course Analysis'!O$42='Course Information'!$D21,'Course Report'!$J21," ")</f>
        <v xml:space="preserve"> </v>
      </c>
      <c r="P39" s="60" t="str">
        <f>IF('Course Analysis'!P$42='Course Information'!$C21,'Course Report'!$J21," ")</f>
        <v xml:space="preserve"> </v>
      </c>
      <c r="Q39" s="60" t="str">
        <f>IF('Course Analysis'!Q$42='Course Information'!$D21,'Course Report'!$J21," ")</f>
        <v xml:space="preserve"> </v>
      </c>
      <c r="R39" s="60" t="str">
        <f>IF('Course Analysis'!R$42='Course Information'!$C21,'Course Report'!$J21," ")</f>
        <v xml:space="preserve"> </v>
      </c>
      <c r="S39" s="60" t="str">
        <f>IF('Course Analysis'!S$42='Course Information'!$D21,'Course Report'!$J21," ")</f>
        <v xml:space="preserve"> </v>
      </c>
      <c r="T39" s="60" t="str">
        <f>IF('Course Analysis'!T$42='Course Information'!$C21,'Course Report'!$J21," ")</f>
        <v xml:space="preserve"> </v>
      </c>
      <c r="U39" s="60" t="str">
        <f>IF('Course Analysis'!U$42='Course Information'!$D21,'Course Report'!$J21," ")</f>
        <v xml:space="preserve"> </v>
      </c>
      <c r="V39" s="60" t="str">
        <f>IF('Course Analysis'!V$42='Course Information'!$C21,'Course Report'!$J21," ")</f>
        <v xml:space="preserve"> </v>
      </c>
      <c r="W39" s="60" t="str">
        <f>IF('Course Analysis'!W$42='Course Information'!$D21,'Course Report'!$J21," ")</f>
        <v xml:space="preserve"> </v>
      </c>
      <c r="X39" s="60" t="str">
        <f>IF('Course Analysis'!X$42='Course Information'!$C21,'Course Report'!$J21," ")</f>
        <v xml:space="preserve"> </v>
      </c>
      <c r="Y39" s="60" t="str">
        <f>IF('Course Analysis'!Y$42='Course Information'!$D21,'Course Report'!$J21," ")</f>
        <v xml:space="preserve"> </v>
      </c>
      <c r="AB39" s="6" t="str">
        <f>X41</f>
        <v xml:space="preserve"> </v>
      </c>
    </row>
    <row r="40" spans="1:28" x14ac:dyDescent="0.25">
      <c r="A40" s="5" t="s">
        <v>41</v>
      </c>
      <c r="B40" s="61" t="e">
        <f t="shared" ref="B40:Y40" si="0">AVERAGE(B28:B39)</f>
        <v>#DIV/0!</v>
      </c>
      <c r="C40" s="61" t="e">
        <f t="shared" si="0"/>
        <v>#DIV/0!</v>
      </c>
      <c r="D40" s="61" t="e">
        <f t="shared" si="0"/>
        <v>#DIV/0!</v>
      </c>
      <c r="E40" s="61" t="e">
        <f t="shared" si="0"/>
        <v>#DIV/0!</v>
      </c>
      <c r="F40" s="61" t="e">
        <f t="shared" si="0"/>
        <v>#DIV/0!</v>
      </c>
      <c r="G40" s="61" t="e">
        <f t="shared" si="0"/>
        <v>#DIV/0!</v>
      </c>
      <c r="H40" s="61" t="e">
        <f t="shared" si="0"/>
        <v>#DIV/0!</v>
      </c>
      <c r="I40" s="61" t="e">
        <f t="shared" si="0"/>
        <v>#DIV/0!</v>
      </c>
      <c r="J40" s="61" t="e">
        <f t="shared" si="0"/>
        <v>#DIV/0!</v>
      </c>
      <c r="K40" s="61" t="e">
        <f t="shared" si="0"/>
        <v>#DIV/0!</v>
      </c>
      <c r="L40" s="61" t="e">
        <f t="shared" si="0"/>
        <v>#DIV/0!</v>
      </c>
      <c r="M40" s="61" t="e">
        <f t="shared" si="0"/>
        <v>#DIV/0!</v>
      </c>
      <c r="N40" s="61" t="e">
        <f t="shared" si="0"/>
        <v>#DIV/0!</v>
      </c>
      <c r="O40" s="61" t="e">
        <f t="shared" si="0"/>
        <v>#DIV/0!</v>
      </c>
      <c r="P40" s="61" t="e">
        <f t="shared" si="0"/>
        <v>#DIV/0!</v>
      </c>
      <c r="Q40" s="61" t="e">
        <f t="shared" si="0"/>
        <v>#DIV/0!</v>
      </c>
      <c r="R40" s="61" t="e">
        <f t="shared" si="0"/>
        <v>#DIV/0!</v>
      </c>
      <c r="S40" s="61" t="e">
        <f t="shared" si="0"/>
        <v>#DIV/0!</v>
      </c>
      <c r="T40" s="61" t="e">
        <f t="shared" si="0"/>
        <v>#DIV/0!</v>
      </c>
      <c r="U40" s="61" t="e">
        <f t="shared" si="0"/>
        <v>#DIV/0!</v>
      </c>
      <c r="V40" s="61" t="e">
        <f t="shared" si="0"/>
        <v>#DIV/0!</v>
      </c>
      <c r="W40" s="61" t="e">
        <f t="shared" si="0"/>
        <v>#DIV/0!</v>
      </c>
      <c r="X40" s="61" t="e">
        <f t="shared" si="0"/>
        <v>#DIV/0!</v>
      </c>
      <c r="Y40" s="61" t="e">
        <f t="shared" si="0"/>
        <v>#DIV/0!</v>
      </c>
    </row>
    <row r="41" spans="1:28" x14ac:dyDescent="0.25">
      <c r="A41" s="5" t="s">
        <v>41</v>
      </c>
      <c r="B41" s="633" t="str">
        <f>IF(SUM(B28:B39,C28:C39)=0," ", AVERAGE(B28:B39,C28:C39))</f>
        <v xml:space="preserve"> </v>
      </c>
      <c r="C41" s="634"/>
      <c r="D41" s="633" t="str">
        <f>IF(SUM(D28:D39,E28:E39)=0," ", AVERAGE(D28:D39,E28:E39))</f>
        <v xml:space="preserve"> </v>
      </c>
      <c r="E41" s="634"/>
      <c r="F41" s="633" t="str">
        <f>IF(SUM(F28:F39,G28:G39)=0," ", AVERAGE(F28:F39,G28:G39))</f>
        <v xml:space="preserve"> </v>
      </c>
      <c r="G41" s="634"/>
      <c r="H41" s="633" t="str">
        <f>IF(SUM(H28:H39,I28:I39)=0," ", AVERAGE(H28:H39,I28:I39))</f>
        <v xml:space="preserve"> </v>
      </c>
      <c r="I41" s="634"/>
      <c r="J41" s="633" t="str">
        <f>IF(SUM(J28:J39,K28:K39)=0," ", AVERAGE(J28:J39,K28:K39))</f>
        <v xml:space="preserve"> </v>
      </c>
      <c r="K41" s="634"/>
      <c r="L41" s="633" t="str">
        <f>IF(SUM(L28:L39,M28:M39)=0," ", AVERAGE(L28:L39,M28:M39))</f>
        <v xml:space="preserve"> </v>
      </c>
      <c r="M41" s="634"/>
      <c r="N41" s="633" t="str">
        <f>IF(SUM(N28:N39,O28:O39)=0," ", AVERAGE(N28:N39,O28:O39))</f>
        <v xml:space="preserve"> </v>
      </c>
      <c r="O41" s="634"/>
      <c r="P41" s="633" t="str">
        <f>IF(SUM(P28:P39,Q28:Q39)=0," ", AVERAGE(P28:P39,Q28:Q39))</f>
        <v xml:space="preserve"> </v>
      </c>
      <c r="Q41" s="634"/>
      <c r="R41" s="633" t="str">
        <f>IF(SUM(R28:R39,S28:S39)=0," ", AVERAGE(R28:R39,S28:S39))</f>
        <v xml:space="preserve"> </v>
      </c>
      <c r="S41" s="634"/>
      <c r="T41" s="633" t="str">
        <f>IF(SUM(T28:T39,U28:U39)=0," ", AVERAGE(T28:T39,U28:U39))</f>
        <v xml:space="preserve"> </v>
      </c>
      <c r="U41" s="634"/>
      <c r="V41" s="633" t="str">
        <f>IF(SUM(V28:V39,W28:W39)=0," ", AVERAGE(V28:V39,W28:W39))</f>
        <v xml:space="preserve"> </v>
      </c>
      <c r="W41" s="634"/>
      <c r="X41" s="633" t="str">
        <f>IF(SUM(X28:X39,Y28:Y39)=0," ", AVERAGE(X28:X39,Y28:Y39))</f>
        <v xml:space="preserve"> </v>
      </c>
      <c r="Y41" s="634"/>
    </row>
    <row r="42" spans="1:28" x14ac:dyDescent="0.25">
      <c r="B42" s="57">
        <v>1</v>
      </c>
      <c r="C42" s="57">
        <v>1</v>
      </c>
      <c r="D42" s="57">
        <v>2</v>
      </c>
      <c r="E42" s="57">
        <v>2</v>
      </c>
      <c r="F42" s="57">
        <v>3</v>
      </c>
      <c r="G42" s="57">
        <v>3</v>
      </c>
      <c r="H42" s="57">
        <v>4</v>
      </c>
      <c r="I42" s="57">
        <v>4</v>
      </c>
      <c r="J42" s="57">
        <v>5</v>
      </c>
      <c r="K42" s="57">
        <v>5</v>
      </c>
      <c r="L42" s="57">
        <v>6</v>
      </c>
      <c r="M42" s="57">
        <v>6</v>
      </c>
      <c r="N42" s="57">
        <v>7</v>
      </c>
      <c r="O42" s="57">
        <v>7</v>
      </c>
      <c r="P42" s="57">
        <v>8</v>
      </c>
      <c r="Q42" s="57">
        <v>8</v>
      </c>
      <c r="R42" s="57">
        <v>9</v>
      </c>
      <c r="S42" s="57">
        <v>9</v>
      </c>
      <c r="T42" s="57">
        <v>10</v>
      </c>
      <c r="U42" s="57">
        <v>10</v>
      </c>
      <c r="V42" s="57">
        <v>11</v>
      </c>
      <c r="W42" s="57">
        <v>11</v>
      </c>
      <c r="X42" s="57">
        <v>12</v>
      </c>
      <c r="Y42" s="57">
        <v>12</v>
      </c>
    </row>
    <row r="43" spans="1:28" x14ac:dyDescent="0.2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7" spans="1:28" ht="18.75" x14ac:dyDescent="0.25">
      <c r="B47" s="637" t="s">
        <v>325</v>
      </c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8"/>
      <c r="P47" s="638"/>
      <c r="Q47" s="638"/>
      <c r="R47" s="638"/>
      <c r="S47" s="638"/>
      <c r="T47" s="638"/>
      <c r="U47" s="638"/>
      <c r="V47" s="64"/>
      <c r="W47" s="64"/>
      <c r="X47" s="64"/>
      <c r="Y47" s="65"/>
    </row>
    <row r="48" spans="1:28" x14ac:dyDescent="0.25">
      <c r="A48" s="21" t="s">
        <v>59</v>
      </c>
      <c r="B48" s="631" t="s">
        <v>311</v>
      </c>
      <c r="C48" s="632"/>
      <c r="D48" s="631" t="s">
        <v>312</v>
      </c>
      <c r="E48" s="632"/>
      <c r="F48" s="631" t="s">
        <v>313</v>
      </c>
      <c r="G48" s="632"/>
      <c r="H48" s="631" t="s">
        <v>314</v>
      </c>
      <c r="I48" s="632"/>
      <c r="J48" s="631" t="s">
        <v>315</v>
      </c>
      <c r="K48" s="632"/>
      <c r="L48" s="631" t="s">
        <v>316</v>
      </c>
      <c r="M48" s="632"/>
      <c r="N48" s="631" t="s">
        <v>317</v>
      </c>
      <c r="O48" s="632"/>
      <c r="P48" s="631" t="s">
        <v>318</v>
      </c>
      <c r="Q48" s="632"/>
      <c r="R48" s="631" t="s">
        <v>319</v>
      </c>
      <c r="S48" s="632"/>
      <c r="T48" s="631" t="s">
        <v>320</v>
      </c>
      <c r="U48" s="632"/>
      <c r="V48" s="631" t="s">
        <v>321</v>
      </c>
      <c r="W48" s="632"/>
      <c r="X48" s="631" t="s">
        <v>322</v>
      </c>
      <c r="Y48" s="632"/>
      <c r="AB48" s="2" t="s">
        <v>324</v>
      </c>
    </row>
    <row r="49" spans="1:28" x14ac:dyDescent="0.25">
      <c r="A49" s="22">
        <v>1</v>
      </c>
      <c r="B49" s="60" t="str">
        <f>IF('Course Analysis'!B$42='Course Information'!$C10,'Course Report'!$I10," ")</f>
        <v xml:space="preserve"> </v>
      </c>
      <c r="C49" s="60" t="str">
        <f>IF('Course Analysis'!C$42='Course Information'!$D10,'Course Report'!$I10," ")</f>
        <v xml:space="preserve"> </v>
      </c>
      <c r="D49" s="60" t="str">
        <f>IF('Course Analysis'!D$42='Course Information'!$C10,'Course Report'!$I10," ")</f>
        <v xml:space="preserve"> </v>
      </c>
      <c r="E49" s="60" t="str">
        <f>IF('Course Analysis'!E$42='Course Information'!$D10,'Course Report'!$I10," ")</f>
        <v xml:space="preserve"> </v>
      </c>
      <c r="F49" s="60" t="str">
        <f>IF('Course Analysis'!F$42='Course Information'!$C10,'Course Report'!$I10," ")</f>
        <v xml:space="preserve"> </v>
      </c>
      <c r="G49" s="60" t="str">
        <f>IF('Course Analysis'!G$42='Course Information'!$D10,'Course Report'!$I10," ")</f>
        <v xml:space="preserve"> </v>
      </c>
      <c r="H49" s="60" t="str">
        <f>IF('Course Analysis'!H$42='Course Information'!$C10,'Course Report'!$I10," ")</f>
        <v xml:space="preserve"> </v>
      </c>
      <c r="I49" s="60" t="str">
        <f>IF('Course Analysis'!I$42='Course Information'!$D10,'Course Report'!$I10," ")</f>
        <v xml:space="preserve"> </v>
      </c>
      <c r="J49" s="60" t="str">
        <f>IF('Course Analysis'!J$42='Course Information'!$C10,'Course Report'!$I10," ")</f>
        <v xml:space="preserve"> </v>
      </c>
      <c r="K49" s="60" t="str">
        <f>IF('Course Analysis'!K$42='Course Information'!$D10,'Course Report'!$I10," ")</f>
        <v xml:space="preserve"> </v>
      </c>
      <c r="L49" s="60" t="str">
        <f>IF('Course Analysis'!L$42='Course Information'!$C10,'Course Report'!$I10," ")</f>
        <v xml:space="preserve"> </v>
      </c>
      <c r="M49" s="60" t="str">
        <f>IF('Course Analysis'!M$42='Course Information'!$D10,'Course Report'!$I10," ")</f>
        <v xml:space="preserve"> </v>
      </c>
      <c r="N49" s="60" t="str">
        <f>IF('Course Analysis'!N$42='Course Information'!$C10,'Course Report'!$I10," ")</f>
        <v xml:space="preserve"> </v>
      </c>
      <c r="O49" s="60" t="str">
        <f>IF('Course Analysis'!O$42='Course Information'!$D10,'Course Report'!$I10," ")</f>
        <v xml:space="preserve"> </v>
      </c>
      <c r="P49" s="60" t="str">
        <f>IF('Course Analysis'!P$42='Course Information'!$C10,'Course Report'!$I10," ")</f>
        <v xml:space="preserve"> </v>
      </c>
      <c r="Q49" s="60" t="str">
        <f>IF('Course Analysis'!Q$42='Course Information'!$D10,'Course Report'!$I10," ")</f>
        <v xml:space="preserve"> </v>
      </c>
      <c r="R49" s="60" t="str">
        <f>IF('Course Analysis'!R$42='Course Information'!$C10,'Course Report'!$I10," ")</f>
        <v xml:space="preserve"> </v>
      </c>
      <c r="S49" s="60" t="str">
        <f>IF('Course Analysis'!S$42='Course Information'!$D10,'Course Report'!$I10," ")</f>
        <v xml:space="preserve"> </v>
      </c>
      <c r="T49" s="60" t="str">
        <f>IF('Course Analysis'!T$42='Course Information'!$C10,'Course Report'!$I10," ")</f>
        <v xml:space="preserve"> </v>
      </c>
      <c r="U49" s="60" t="str">
        <f>IF('Course Analysis'!U$42='Course Information'!$D10,'Course Report'!$I10," ")</f>
        <v xml:space="preserve"> </v>
      </c>
      <c r="V49" s="60" t="str">
        <f>IF('Course Analysis'!V$42='Course Information'!$C10,'Course Report'!$I10," ")</f>
        <v xml:space="preserve"> </v>
      </c>
      <c r="W49" s="60" t="str">
        <f>IF('Course Analysis'!W$42='Course Information'!$D10,'Course Report'!$I10," ")</f>
        <v xml:space="preserve"> </v>
      </c>
      <c r="X49" s="60" t="str">
        <f>IF('Course Analysis'!X$42='Course Information'!$C10,'Course Report'!$I10," ")</f>
        <v xml:space="preserve"> </v>
      </c>
      <c r="Y49" s="60" t="str">
        <f>IF('Course Analysis'!Y$42='Course Information'!$D10,'Course Report'!$I10," ")</f>
        <v xml:space="preserve"> </v>
      </c>
      <c r="AB49" s="6" t="str">
        <f>B62</f>
        <v xml:space="preserve"> </v>
      </c>
    </row>
    <row r="50" spans="1:28" x14ac:dyDescent="0.25">
      <c r="A50" s="22">
        <v>2</v>
      </c>
      <c r="B50" s="60" t="str">
        <f>IF('Course Analysis'!B$42='Course Information'!$C11,'Course Report'!$I11," ")</f>
        <v xml:space="preserve"> </v>
      </c>
      <c r="C50" s="60" t="str">
        <f>IF('Course Analysis'!C$42='Course Information'!$D11,'Course Report'!$I11," ")</f>
        <v xml:space="preserve"> </v>
      </c>
      <c r="D50" s="60" t="str">
        <f>IF('Course Analysis'!D$42='Course Information'!$C11,'Course Report'!$I11," ")</f>
        <v xml:space="preserve"> </v>
      </c>
      <c r="E50" s="60" t="str">
        <f>IF('Course Analysis'!E$42='Course Information'!$D11,'Course Report'!$I11," ")</f>
        <v xml:space="preserve"> </v>
      </c>
      <c r="F50" s="60" t="str">
        <f>IF('Course Analysis'!F$42='Course Information'!$C11,'Course Report'!$I11," ")</f>
        <v xml:space="preserve"> </v>
      </c>
      <c r="G50" s="60" t="str">
        <f>IF('Course Analysis'!G$42='Course Information'!$D11,'Course Report'!$I11," ")</f>
        <v xml:space="preserve"> </v>
      </c>
      <c r="H50" s="60" t="str">
        <f>IF('Course Analysis'!H$42='Course Information'!$C11,'Course Report'!$I11," ")</f>
        <v xml:space="preserve"> </v>
      </c>
      <c r="I50" s="60" t="str">
        <f>IF('Course Analysis'!I$42='Course Information'!$D11,'Course Report'!$I11," ")</f>
        <v xml:space="preserve"> </v>
      </c>
      <c r="J50" s="60" t="str">
        <f>IF('Course Analysis'!J$42='Course Information'!$C11,'Course Report'!$I11," ")</f>
        <v xml:space="preserve"> </v>
      </c>
      <c r="K50" s="60" t="str">
        <f>IF('Course Analysis'!K$42='Course Information'!$D11,'Course Report'!$I11," ")</f>
        <v xml:space="preserve"> </v>
      </c>
      <c r="L50" s="60" t="str">
        <f>IF('Course Analysis'!L$42='Course Information'!$C11,'Course Report'!$I11," ")</f>
        <v xml:space="preserve"> </v>
      </c>
      <c r="M50" s="60" t="str">
        <f>IF('Course Analysis'!M$42='Course Information'!$D11,'Course Report'!$I11," ")</f>
        <v xml:space="preserve"> </v>
      </c>
      <c r="N50" s="60" t="str">
        <f>IF('Course Analysis'!N$42='Course Information'!$C11,'Course Report'!$I11," ")</f>
        <v xml:space="preserve"> </v>
      </c>
      <c r="O50" s="60" t="str">
        <f>IF('Course Analysis'!O$42='Course Information'!$D11,'Course Report'!$I11," ")</f>
        <v xml:space="preserve"> </v>
      </c>
      <c r="P50" s="60" t="str">
        <f>IF('Course Analysis'!P$42='Course Information'!$C11,'Course Report'!$I11," ")</f>
        <v xml:space="preserve"> </v>
      </c>
      <c r="Q50" s="60" t="str">
        <f>IF('Course Analysis'!Q$42='Course Information'!$D11,'Course Report'!$I11," ")</f>
        <v xml:space="preserve"> </v>
      </c>
      <c r="R50" s="60" t="str">
        <f>IF('Course Analysis'!R$42='Course Information'!$C11,'Course Report'!$I11," ")</f>
        <v xml:space="preserve"> </v>
      </c>
      <c r="S50" s="60" t="str">
        <f>IF('Course Analysis'!S$42='Course Information'!$D11,'Course Report'!$I11," ")</f>
        <v xml:space="preserve"> </v>
      </c>
      <c r="T50" s="60" t="str">
        <f>IF('Course Analysis'!T$42='Course Information'!$C11,'Course Report'!$I11," ")</f>
        <v xml:space="preserve"> </v>
      </c>
      <c r="U50" s="60" t="str">
        <f>IF('Course Analysis'!U$42='Course Information'!$D11,'Course Report'!$I11," ")</f>
        <v xml:space="preserve"> </v>
      </c>
      <c r="V50" s="60" t="str">
        <f>IF('Course Analysis'!V$42='Course Information'!$C11,'Course Report'!$I11," ")</f>
        <v xml:space="preserve"> </v>
      </c>
      <c r="W50" s="60" t="str">
        <f>IF('Course Analysis'!W$42='Course Information'!$D11,'Course Report'!$I11," ")</f>
        <v xml:space="preserve"> </v>
      </c>
      <c r="X50" s="60" t="str">
        <f>IF('Course Analysis'!X$42='Course Information'!$C11,'Course Report'!$I11," ")</f>
        <v xml:space="preserve"> </v>
      </c>
      <c r="Y50" s="60" t="str">
        <f>IF('Course Analysis'!Y$42='Course Information'!$D11,'Course Report'!$I11," ")</f>
        <v xml:space="preserve"> </v>
      </c>
      <c r="AB50" s="6" t="str">
        <f>D62</f>
        <v xml:space="preserve"> </v>
      </c>
    </row>
    <row r="51" spans="1:28" x14ac:dyDescent="0.25">
      <c r="A51" s="22">
        <v>3</v>
      </c>
      <c r="B51" s="60" t="str">
        <f>IF('Course Analysis'!B$42='Course Information'!$C12,'Course Report'!$I12," ")</f>
        <v xml:space="preserve"> </v>
      </c>
      <c r="C51" s="60" t="str">
        <f>IF('Course Analysis'!C$42='Course Information'!$D12,'Course Report'!$I12," ")</f>
        <v xml:space="preserve"> </v>
      </c>
      <c r="D51" s="60" t="str">
        <f>IF('Course Analysis'!D$42='Course Information'!$C12,'Course Report'!$I12," ")</f>
        <v xml:space="preserve"> </v>
      </c>
      <c r="E51" s="60" t="str">
        <f>IF('Course Analysis'!E$42='Course Information'!$D12,'Course Report'!$I12," ")</f>
        <v xml:space="preserve"> </v>
      </c>
      <c r="F51" s="60" t="str">
        <f>IF('Course Analysis'!F$42='Course Information'!$C12,'Course Report'!$I12," ")</f>
        <v xml:space="preserve"> </v>
      </c>
      <c r="G51" s="60" t="str">
        <f>IF('Course Analysis'!G$42='Course Information'!$D12,'Course Report'!$I12," ")</f>
        <v xml:space="preserve"> </v>
      </c>
      <c r="H51" s="60" t="str">
        <f>IF('Course Analysis'!H$42='Course Information'!$C12,'Course Report'!$I12," ")</f>
        <v xml:space="preserve"> </v>
      </c>
      <c r="I51" s="60" t="str">
        <f>IF('Course Analysis'!I$42='Course Information'!$D12,'Course Report'!$I12," ")</f>
        <v xml:space="preserve"> </v>
      </c>
      <c r="J51" s="60" t="str">
        <f>IF('Course Analysis'!J$42='Course Information'!$C12,'Course Report'!$I12," ")</f>
        <v xml:space="preserve"> </v>
      </c>
      <c r="K51" s="60" t="str">
        <f>IF('Course Analysis'!K$42='Course Information'!$D12,'Course Report'!$I12," ")</f>
        <v xml:space="preserve"> </v>
      </c>
      <c r="L51" s="60" t="str">
        <f>IF('Course Analysis'!L$42='Course Information'!$C12,'Course Report'!$I12," ")</f>
        <v xml:space="preserve"> </v>
      </c>
      <c r="M51" s="60" t="str">
        <f>IF('Course Analysis'!M$42='Course Information'!$D12,'Course Report'!$I12," ")</f>
        <v xml:space="preserve"> </v>
      </c>
      <c r="N51" s="60" t="str">
        <f>IF('Course Analysis'!N$42='Course Information'!$C12,'Course Report'!$I12," ")</f>
        <v xml:space="preserve"> </v>
      </c>
      <c r="O51" s="60" t="str">
        <f>IF('Course Analysis'!O$42='Course Information'!$D12,'Course Report'!$I12," ")</f>
        <v xml:space="preserve"> </v>
      </c>
      <c r="P51" s="60" t="str">
        <f>IF('Course Analysis'!P$42='Course Information'!$C12,'Course Report'!$I12," ")</f>
        <v xml:space="preserve"> </v>
      </c>
      <c r="Q51" s="60" t="str">
        <f>IF('Course Analysis'!Q$42='Course Information'!$D12,'Course Report'!$I12," ")</f>
        <v xml:space="preserve"> </v>
      </c>
      <c r="R51" s="60" t="str">
        <f>IF('Course Analysis'!R$42='Course Information'!$C12,'Course Report'!$I12," ")</f>
        <v xml:space="preserve"> </v>
      </c>
      <c r="S51" s="60" t="str">
        <f>IF('Course Analysis'!S$42='Course Information'!$D12,'Course Report'!$I12," ")</f>
        <v xml:space="preserve"> </v>
      </c>
      <c r="T51" s="60" t="str">
        <f>IF('Course Analysis'!T$42='Course Information'!$C12,'Course Report'!$I12," ")</f>
        <v xml:space="preserve"> </v>
      </c>
      <c r="U51" s="60" t="str">
        <f>IF('Course Analysis'!U$42='Course Information'!$D12,'Course Report'!$I12," ")</f>
        <v xml:space="preserve"> </v>
      </c>
      <c r="V51" s="60" t="str">
        <f>IF('Course Analysis'!V$42='Course Information'!$C12,'Course Report'!$I12," ")</f>
        <v xml:space="preserve"> </v>
      </c>
      <c r="W51" s="60" t="str">
        <f>IF('Course Analysis'!W$42='Course Information'!$D12,'Course Report'!$I12," ")</f>
        <v xml:space="preserve"> </v>
      </c>
      <c r="X51" s="60" t="str">
        <f>IF('Course Analysis'!X$42='Course Information'!$C12,'Course Report'!$I12," ")</f>
        <v xml:space="preserve"> </v>
      </c>
      <c r="Y51" s="60" t="str">
        <f>IF('Course Analysis'!Y$42='Course Information'!$D12,'Course Report'!$I12," ")</f>
        <v xml:space="preserve"> </v>
      </c>
      <c r="AB51" s="6" t="str">
        <f>F62</f>
        <v xml:space="preserve"> </v>
      </c>
    </row>
    <row r="52" spans="1:28" x14ac:dyDescent="0.25">
      <c r="A52" s="22">
        <v>4</v>
      </c>
      <c r="B52" s="60" t="str">
        <f>IF('Course Analysis'!B$42='Course Information'!$C13,'Course Report'!$I13," ")</f>
        <v xml:space="preserve"> </v>
      </c>
      <c r="C52" s="60" t="str">
        <f>IF('Course Analysis'!C$42='Course Information'!$D13,'Course Report'!$I13," ")</f>
        <v xml:space="preserve"> </v>
      </c>
      <c r="D52" s="60" t="str">
        <f>IF('Course Analysis'!D$42='Course Information'!$C13,'Course Report'!$I13," ")</f>
        <v xml:space="preserve"> </v>
      </c>
      <c r="E52" s="60" t="str">
        <f>IF('Course Analysis'!E$42='Course Information'!$D13,'Course Report'!$I13," ")</f>
        <v xml:space="preserve"> </v>
      </c>
      <c r="F52" s="60" t="str">
        <f>IF('Course Analysis'!F$42='Course Information'!$C13,'Course Report'!$I13," ")</f>
        <v xml:space="preserve"> </v>
      </c>
      <c r="G52" s="60" t="str">
        <f>IF('Course Analysis'!G$42='Course Information'!$D13,'Course Report'!$I13," ")</f>
        <v xml:space="preserve"> </v>
      </c>
      <c r="H52" s="60" t="str">
        <f>IF('Course Analysis'!H$42='Course Information'!$C13,'Course Report'!$I13," ")</f>
        <v xml:space="preserve"> </v>
      </c>
      <c r="I52" s="60" t="str">
        <f>IF('Course Analysis'!I$42='Course Information'!$D13,'Course Report'!$I13," ")</f>
        <v xml:space="preserve"> </v>
      </c>
      <c r="J52" s="60" t="str">
        <f>IF('Course Analysis'!J$42='Course Information'!$C13,'Course Report'!$I13," ")</f>
        <v xml:space="preserve"> </v>
      </c>
      <c r="K52" s="60" t="str">
        <f>IF('Course Analysis'!K$42='Course Information'!$D13,'Course Report'!$I13," ")</f>
        <v xml:space="preserve"> </v>
      </c>
      <c r="L52" s="60" t="str">
        <f>IF('Course Analysis'!L$42='Course Information'!$C13,'Course Report'!$I13," ")</f>
        <v xml:space="preserve"> </v>
      </c>
      <c r="M52" s="60" t="str">
        <f>IF('Course Analysis'!M$42='Course Information'!$D13,'Course Report'!$I13," ")</f>
        <v xml:space="preserve"> </v>
      </c>
      <c r="N52" s="60" t="str">
        <f>IF('Course Analysis'!N$42='Course Information'!$C13,'Course Report'!$I13," ")</f>
        <v xml:space="preserve"> </v>
      </c>
      <c r="O52" s="60" t="str">
        <f>IF('Course Analysis'!O$42='Course Information'!$D13,'Course Report'!$I13," ")</f>
        <v xml:space="preserve"> </v>
      </c>
      <c r="P52" s="60" t="str">
        <f>IF('Course Analysis'!P$42='Course Information'!$C13,'Course Report'!$I13," ")</f>
        <v xml:space="preserve"> </v>
      </c>
      <c r="Q52" s="60" t="str">
        <f>IF('Course Analysis'!Q$42='Course Information'!$D13,'Course Report'!$I13," ")</f>
        <v xml:space="preserve"> </v>
      </c>
      <c r="R52" s="60" t="str">
        <f>IF('Course Analysis'!R$42='Course Information'!$C13,'Course Report'!$I13," ")</f>
        <v xml:space="preserve"> </v>
      </c>
      <c r="S52" s="60" t="str">
        <f>IF('Course Analysis'!S$42='Course Information'!$D13,'Course Report'!$I13," ")</f>
        <v xml:space="preserve"> </v>
      </c>
      <c r="T52" s="60" t="str">
        <f>IF('Course Analysis'!T$42='Course Information'!$C13,'Course Report'!$I13," ")</f>
        <v xml:space="preserve"> </v>
      </c>
      <c r="U52" s="60" t="str">
        <f>IF('Course Analysis'!U$42='Course Information'!$D13,'Course Report'!$I13," ")</f>
        <v xml:space="preserve"> </v>
      </c>
      <c r="V52" s="60" t="str">
        <f>IF('Course Analysis'!V$42='Course Information'!$C13,'Course Report'!$I13," ")</f>
        <v xml:space="preserve"> </v>
      </c>
      <c r="W52" s="60" t="str">
        <f>IF('Course Analysis'!W$42='Course Information'!$D13,'Course Report'!$I13," ")</f>
        <v xml:space="preserve"> </v>
      </c>
      <c r="X52" s="60" t="str">
        <f>IF('Course Analysis'!X$42='Course Information'!$C13,'Course Report'!$I13," ")</f>
        <v xml:space="preserve"> </v>
      </c>
      <c r="Y52" s="60" t="str">
        <f>IF('Course Analysis'!Y$42='Course Information'!$D13,'Course Report'!$I13," ")</f>
        <v xml:space="preserve"> </v>
      </c>
      <c r="AB52" s="6" t="str">
        <f>H62</f>
        <v xml:space="preserve"> </v>
      </c>
    </row>
    <row r="53" spans="1:28" x14ac:dyDescent="0.25">
      <c r="A53" s="22">
        <v>5</v>
      </c>
      <c r="B53" s="60" t="str">
        <f>IF('Course Analysis'!B$42='Course Information'!$C14,'Course Report'!$I14," ")</f>
        <v xml:space="preserve"> </v>
      </c>
      <c r="C53" s="60" t="str">
        <f>IF('Course Analysis'!C$42='Course Information'!$D14,'Course Report'!$I14," ")</f>
        <v xml:space="preserve"> </v>
      </c>
      <c r="D53" s="60" t="str">
        <f>IF('Course Analysis'!D$42='Course Information'!$C14,'Course Report'!$I14," ")</f>
        <v xml:space="preserve"> </v>
      </c>
      <c r="E53" s="60" t="str">
        <f>IF('Course Analysis'!E$42='Course Information'!$D14,'Course Report'!$I14," ")</f>
        <v xml:space="preserve"> </v>
      </c>
      <c r="F53" s="60" t="str">
        <f>IF('Course Analysis'!F$42='Course Information'!$C14,'Course Report'!$I14," ")</f>
        <v xml:space="preserve"> </v>
      </c>
      <c r="G53" s="60" t="str">
        <f>IF('Course Analysis'!G$42='Course Information'!$D14,'Course Report'!$I14," ")</f>
        <v xml:space="preserve"> </v>
      </c>
      <c r="H53" s="60" t="str">
        <f>IF('Course Analysis'!H$42='Course Information'!$C14,'Course Report'!$I14," ")</f>
        <v xml:space="preserve"> </v>
      </c>
      <c r="I53" s="60" t="str">
        <f>IF('Course Analysis'!I$42='Course Information'!$D14,'Course Report'!$I14," ")</f>
        <v xml:space="preserve"> </v>
      </c>
      <c r="J53" s="60" t="str">
        <f>IF('Course Analysis'!J$42='Course Information'!$C14,'Course Report'!$I14," ")</f>
        <v xml:space="preserve"> </v>
      </c>
      <c r="K53" s="60" t="str">
        <f>IF('Course Analysis'!K$42='Course Information'!$D14,'Course Report'!$I14," ")</f>
        <v xml:space="preserve"> </v>
      </c>
      <c r="L53" s="60" t="str">
        <f>IF('Course Analysis'!L$42='Course Information'!$C14,'Course Report'!$I14," ")</f>
        <v xml:space="preserve"> </v>
      </c>
      <c r="M53" s="60" t="str">
        <f>IF('Course Analysis'!M$42='Course Information'!$D14,'Course Report'!$I14," ")</f>
        <v xml:space="preserve"> </v>
      </c>
      <c r="N53" s="60" t="str">
        <f>IF('Course Analysis'!N$42='Course Information'!$C14,'Course Report'!$I14," ")</f>
        <v xml:space="preserve"> </v>
      </c>
      <c r="O53" s="60" t="str">
        <f>IF('Course Analysis'!O$42='Course Information'!$D14,'Course Report'!$I14," ")</f>
        <v xml:space="preserve"> </v>
      </c>
      <c r="P53" s="60" t="str">
        <f>IF('Course Analysis'!P$42='Course Information'!$C14,'Course Report'!$I14," ")</f>
        <v xml:space="preserve"> </v>
      </c>
      <c r="Q53" s="60" t="str">
        <f>IF('Course Analysis'!Q$42='Course Information'!$D14,'Course Report'!$I14," ")</f>
        <v xml:space="preserve"> </v>
      </c>
      <c r="R53" s="60" t="str">
        <f>IF('Course Analysis'!R$42='Course Information'!$C14,'Course Report'!$I14," ")</f>
        <v xml:space="preserve"> </v>
      </c>
      <c r="S53" s="60" t="str">
        <f>IF('Course Analysis'!S$42='Course Information'!$D14,'Course Report'!$I14," ")</f>
        <v xml:space="preserve"> </v>
      </c>
      <c r="T53" s="60" t="str">
        <f>IF('Course Analysis'!T$42='Course Information'!$C14,'Course Report'!$I14," ")</f>
        <v xml:space="preserve"> </v>
      </c>
      <c r="U53" s="60" t="str">
        <f>IF('Course Analysis'!U$42='Course Information'!$D14,'Course Report'!$I14," ")</f>
        <v xml:space="preserve"> </v>
      </c>
      <c r="V53" s="60" t="str">
        <f>IF('Course Analysis'!V$42='Course Information'!$C14,'Course Report'!$I14," ")</f>
        <v xml:space="preserve"> </v>
      </c>
      <c r="W53" s="60" t="str">
        <f>IF('Course Analysis'!W$42='Course Information'!$D14,'Course Report'!$I14," ")</f>
        <v xml:space="preserve"> </v>
      </c>
      <c r="X53" s="60" t="str">
        <f>IF('Course Analysis'!X$42='Course Information'!$C14,'Course Report'!$I14," ")</f>
        <v xml:space="preserve"> </v>
      </c>
      <c r="Y53" s="60" t="str">
        <f>IF('Course Analysis'!Y$42='Course Information'!$D14,'Course Report'!$I14," ")</f>
        <v xml:space="preserve"> </v>
      </c>
      <c r="AB53" s="6" t="str">
        <f>J62</f>
        <v xml:space="preserve"> </v>
      </c>
    </row>
    <row r="54" spans="1:28" x14ac:dyDescent="0.25">
      <c r="A54" s="22">
        <v>6</v>
      </c>
      <c r="B54" s="60" t="str">
        <f>IF('Course Analysis'!B$42='Course Information'!$C15,'Course Report'!$I15," ")</f>
        <v xml:space="preserve"> </v>
      </c>
      <c r="C54" s="60" t="str">
        <f>IF('Course Analysis'!C$42='Course Information'!$D15,'Course Report'!$I15," ")</f>
        <v xml:space="preserve"> </v>
      </c>
      <c r="D54" s="60" t="str">
        <f>IF('Course Analysis'!D$42='Course Information'!$C15,'Course Report'!$I15," ")</f>
        <v xml:space="preserve"> </v>
      </c>
      <c r="E54" s="60" t="str">
        <f>IF('Course Analysis'!E$42='Course Information'!$D15,'Course Report'!$I15," ")</f>
        <v xml:space="preserve"> </v>
      </c>
      <c r="F54" s="60" t="str">
        <f>IF('Course Analysis'!F$42='Course Information'!$C15,'Course Report'!$I15," ")</f>
        <v xml:space="preserve"> </v>
      </c>
      <c r="G54" s="60" t="str">
        <f>IF('Course Analysis'!G$42='Course Information'!$D15,'Course Report'!$I15," ")</f>
        <v xml:space="preserve"> </v>
      </c>
      <c r="H54" s="60" t="str">
        <f>IF('Course Analysis'!H$42='Course Information'!$C15,'Course Report'!$I15," ")</f>
        <v xml:space="preserve"> </v>
      </c>
      <c r="I54" s="60" t="str">
        <f>IF('Course Analysis'!I$42='Course Information'!$D15,'Course Report'!$I15," ")</f>
        <v xml:space="preserve"> </v>
      </c>
      <c r="J54" s="60" t="str">
        <f>IF('Course Analysis'!J$42='Course Information'!$C15,'Course Report'!$I15," ")</f>
        <v xml:space="preserve"> </v>
      </c>
      <c r="K54" s="60" t="str">
        <f>IF('Course Analysis'!K$42='Course Information'!$D15,'Course Report'!$I15," ")</f>
        <v xml:space="preserve"> </v>
      </c>
      <c r="L54" s="60" t="str">
        <f>IF('Course Analysis'!L$42='Course Information'!$C15,'Course Report'!$I15," ")</f>
        <v xml:space="preserve"> </v>
      </c>
      <c r="M54" s="60" t="str">
        <f>IF('Course Analysis'!M$42='Course Information'!$D15,'Course Report'!$I15," ")</f>
        <v xml:space="preserve"> </v>
      </c>
      <c r="N54" s="60" t="str">
        <f>IF('Course Analysis'!N$42='Course Information'!$C15,'Course Report'!$I15," ")</f>
        <v xml:space="preserve"> </v>
      </c>
      <c r="O54" s="60" t="str">
        <f>IF('Course Analysis'!O$42='Course Information'!$D15,'Course Report'!$I15," ")</f>
        <v xml:space="preserve"> </v>
      </c>
      <c r="P54" s="60" t="str">
        <f>IF('Course Analysis'!P$42='Course Information'!$C15,'Course Report'!$I15," ")</f>
        <v xml:space="preserve"> </v>
      </c>
      <c r="Q54" s="60" t="str">
        <f>IF('Course Analysis'!Q$42='Course Information'!$D15,'Course Report'!$I15," ")</f>
        <v xml:space="preserve"> </v>
      </c>
      <c r="R54" s="60" t="str">
        <f>IF('Course Analysis'!R$42='Course Information'!$C15,'Course Report'!$I15," ")</f>
        <v xml:space="preserve"> </v>
      </c>
      <c r="S54" s="60" t="str">
        <f>IF('Course Analysis'!S$42='Course Information'!$D15,'Course Report'!$I15," ")</f>
        <v xml:space="preserve"> </v>
      </c>
      <c r="T54" s="60" t="str">
        <f>IF('Course Analysis'!T$42='Course Information'!$C15,'Course Report'!$I15," ")</f>
        <v xml:space="preserve"> </v>
      </c>
      <c r="U54" s="60" t="str">
        <f>IF('Course Analysis'!U$42='Course Information'!$D15,'Course Report'!$I15," ")</f>
        <v xml:space="preserve"> </v>
      </c>
      <c r="V54" s="60" t="str">
        <f>IF('Course Analysis'!V$42='Course Information'!$C15,'Course Report'!$I15," ")</f>
        <v xml:space="preserve"> </v>
      </c>
      <c r="W54" s="60" t="str">
        <f>IF('Course Analysis'!W$42='Course Information'!$D15,'Course Report'!$I15," ")</f>
        <v xml:space="preserve"> </v>
      </c>
      <c r="X54" s="60" t="str">
        <f>IF('Course Analysis'!X$42='Course Information'!$C15,'Course Report'!$I15," ")</f>
        <v xml:space="preserve"> </v>
      </c>
      <c r="Y54" s="60" t="str">
        <f>IF('Course Analysis'!Y$42='Course Information'!$D15,'Course Report'!$I15," ")</f>
        <v xml:space="preserve"> </v>
      </c>
      <c r="AB54" s="6" t="str">
        <f>L62</f>
        <v xml:space="preserve"> </v>
      </c>
    </row>
    <row r="55" spans="1:28" x14ac:dyDescent="0.25">
      <c r="A55" s="22">
        <v>7</v>
      </c>
      <c r="B55" s="60" t="str">
        <f>IF('Course Analysis'!B$42='Course Information'!$C16,'Course Report'!$I16," ")</f>
        <v xml:space="preserve"> </v>
      </c>
      <c r="C55" s="60" t="str">
        <f>IF('Course Analysis'!C$42='Course Information'!$D16,'Course Report'!$I16," ")</f>
        <v xml:space="preserve"> </v>
      </c>
      <c r="D55" s="60" t="str">
        <f>IF('Course Analysis'!D$42='Course Information'!$C16,'Course Report'!$I16," ")</f>
        <v xml:space="preserve"> </v>
      </c>
      <c r="E55" s="60" t="str">
        <f>IF('Course Analysis'!E$42='Course Information'!$D16,'Course Report'!$I16," ")</f>
        <v xml:space="preserve"> </v>
      </c>
      <c r="F55" s="60" t="str">
        <f>IF('Course Analysis'!F$42='Course Information'!$C16,'Course Report'!$I16," ")</f>
        <v xml:space="preserve"> </v>
      </c>
      <c r="G55" s="60" t="str">
        <f>IF('Course Analysis'!G$42='Course Information'!$D16,'Course Report'!$I16," ")</f>
        <v xml:space="preserve"> </v>
      </c>
      <c r="H55" s="60" t="str">
        <f>IF('Course Analysis'!H$42='Course Information'!$C16,'Course Report'!$I16," ")</f>
        <v xml:space="preserve"> </v>
      </c>
      <c r="I55" s="60" t="str">
        <f>IF('Course Analysis'!I$42='Course Information'!$D16,'Course Report'!$I16," ")</f>
        <v xml:space="preserve"> </v>
      </c>
      <c r="J55" s="60" t="str">
        <f>IF('Course Analysis'!J$42='Course Information'!$C16,'Course Report'!$I16," ")</f>
        <v xml:space="preserve"> </v>
      </c>
      <c r="K55" s="60" t="str">
        <f>IF('Course Analysis'!K$42='Course Information'!$D16,'Course Report'!$I16," ")</f>
        <v xml:space="preserve"> </v>
      </c>
      <c r="L55" s="60" t="str">
        <f>IF('Course Analysis'!L$42='Course Information'!$C16,'Course Report'!$I16," ")</f>
        <v xml:space="preserve"> </v>
      </c>
      <c r="M55" s="60" t="str">
        <f>IF('Course Analysis'!M$42='Course Information'!$D16,'Course Report'!$I16," ")</f>
        <v xml:space="preserve"> </v>
      </c>
      <c r="N55" s="60" t="str">
        <f>IF('Course Analysis'!N$42='Course Information'!$C16,'Course Report'!$I16," ")</f>
        <v xml:space="preserve"> </v>
      </c>
      <c r="O55" s="60" t="str">
        <f>IF('Course Analysis'!O$42='Course Information'!$D16,'Course Report'!$I16," ")</f>
        <v xml:space="preserve"> </v>
      </c>
      <c r="P55" s="60" t="str">
        <f>IF('Course Analysis'!P$42='Course Information'!$C16,'Course Report'!$I16," ")</f>
        <v xml:space="preserve"> </v>
      </c>
      <c r="Q55" s="60" t="str">
        <f>IF('Course Analysis'!Q$42='Course Information'!$D16,'Course Report'!$I16," ")</f>
        <v xml:space="preserve"> </v>
      </c>
      <c r="R55" s="60" t="str">
        <f>IF('Course Analysis'!R$42='Course Information'!$C16,'Course Report'!$I16," ")</f>
        <v xml:space="preserve"> </v>
      </c>
      <c r="S55" s="60" t="str">
        <f>IF('Course Analysis'!S$42='Course Information'!$D16,'Course Report'!$I16," ")</f>
        <v xml:space="preserve"> </v>
      </c>
      <c r="T55" s="60" t="str">
        <f>IF('Course Analysis'!T$42='Course Information'!$C16,'Course Report'!$I16," ")</f>
        <v xml:space="preserve"> </v>
      </c>
      <c r="U55" s="60" t="str">
        <f>IF('Course Analysis'!U$42='Course Information'!$D16,'Course Report'!$I16," ")</f>
        <v xml:space="preserve"> </v>
      </c>
      <c r="V55" s="60" t="str">
        <f>IF('Course Analysis'!V$42='Course Information'!$C16,'Course Report'!$I16," ")</f>
        <v xml:space="preserve"> </v>
      </c>
      <c r="W55" s="60" t="str">
        <f>IF('Course Analysis'!W$42='Course Information'!$D16,'Course Report'!$I16," ")</f>
        <v xml:space="preserve"> </v>
      </c>
      <c r="X55" s="60" t="str">
        <f>IF('Course Analysis'!X$42='Course Information'!$C16,'Course Report'!$I16," ")</f>
        <v xml:space="preserve"> </v>
      </c>
      <c r="Y55" s="60" t="str">
        <f>IF('Course Analysis'!Y$42='Course Information'!$D16,'Course Report'!$I16," ")</f>
        <v xml:space="preserve"> </v>
      </c>
      <c r="AB55" s="6" t="str">
        <f>N62</f>
        <v xml:space="preserve"> </v>
      </c>
    </row>
    <row r="56" spans="1:28" x14ac:dyDescent="0.25">
      <c r="A56" s="22">
        <v>8</v>
      </c>
      <c r="B56" s="60" t="str">
        <f>IF('Course Analysis'!B$42='Course Information'!$C17,'Course Report'!$I17," ")</f>
        <v xml:space="preserve"> </v>
      </c>
      <c r="C56" s="60" t="str">
        <f>IF('Course Analysis'!C$42='Course Information'!$D17,'Course Report'!$I17," ")</f>
        <v xml:space="preserve"> </v>
      </c>
      <c r="D56" s="60" t="str">
        <f>IF('Course Analysis'!D$42='Course Information'!$C17,'Course Report'!$I17," ")</f>
        <v xml:space="preserve"> </v>
      </c>
      <c r="E56" s="60" t="str">
        <f>IF('Course Analysis'!E$42='Course Information'!$D17,'Course Report'!$I17," ")</f>
        <v xml:space="preserve"> </v>
      </c>
      <c r="F56" s="60" t="str">
        <f>IF('Course Analysis'!F$42='Course Information'!$C17,'Course Report'!$I17," ")</f>
        <v xml:space="preserve"> </v>
      </c>
      <c r="G56" s="60" t="str">
        <f>IF('Course Analysis'!G$42='Course Information'!$D17,'Course Report'!$I17," ")</f>
        <v xml:space="preserve"> </v>
      </c>
      <c r="H56" s="60" t="str">
        <f>IF('Course Analysis'!H$42='Course Information'!$C17,'Course Report'!$I17," ")</f>
        <v xml:space="preserve"> </v>
      </c>
      <c r="I56" s="60" t="str">
        <f>IF('Course Analysis'!I$42='Course Information'!$D17,'Course Report'!$I17," ")</f>
        <v xml:space="preserve"> </v>
      </c>
      <c r="J56" s="60" t="str">
        <f>IF('Course Analysis'!J$42='Course Information'!$C17,'Course Report'!$I17," ")</f>
        <v xml:space="preserve"> </v>
      </c>
      <c r="K56" s="60" t="str">
        <f>IF('Course Analysis'!K$42='Course Information'!$D17,'Course Report'!$I17," ")</f>
        <v xml:space="preserve"> </v>
      </c>
      <c r="L56" s="60" t="str">
        <f>IF('Course Analysis'!L$42='Course Information'!$C17,'Course Report'!$I17," ")</f>
        <v xml:space="preserve"> </v>
      </c>
      <c r="M56" s="60" t="str">
        <f>IF('Course Analysis'!M$42='Course Information'!$D17,'Course Report'!$I17," ")</f>
        <v xml:space="preserve"> </v>
      </c>
      <c r="N56" s="60" t="str">
        <f>IF('Course Analysis'!N$42='Course Information'!$C17,'Course Report'!$I17," ")</f>
        <v xml:space="preserve"> </v>
      </c>
      <c r="O56" s="60" t="str">
        <f>IF('Course Analysis'!O$42='Course Information'!$D17,'Course Report'!$I17," ")</f>
        <v xml:space="preserve"> </v>
      </c>
      <c r="P56" s="60" t="str">
        <f>IF('Course Analysis'!P$42='Course Information'!$C17,'Course Report'!$I17," ")</f>
        <v xml:space="preserve"> </v>
      </c>
      <c r="Q56" s="60" t="str">
        <f>IF('Course Analysis'!Q$42='Course Information'!$D17,'Course Report'!$I17," ")</f>
        <v xml:space="preserve"> </v>
      </c>
      <c r="R56" s="60" t="str">
        <f>IF('Course Analysis'!R$42='Course Information'!$C17,'Course Report'!$I17," ")</f>
        <v xml:space="preserve"> </v>
      </c>
      <c r="S56" s="60" t="str">
        <f>IF('Course Analysis'!S$42='Course Information'!$D17,'Course Report'!$I17," ")</f>
        <v xml:space="preserve"> </v>
      </c>
      <c r="T56" s="60" t="str">
        <f>IF('Course Analysis'!T$42='Course Information'!$C17,'Course Report'!$I17," ")</f>
        <v xml:space="preserve"> </v>
      </c>
      <c r="U56" s="60" t="str">
        <f>IF('Course Analysis'!U$42='Course Information'!$D17,'Course Report'!$I17," ")</f>
        <v xml:space="preserve"> </v>
      </c>
      <c r="V56" s="60" t="str">
        <f>IF('Course Analysis'!V$42='Course Information'!$C17,'Course Report'!$I17," ")</f>
        <v xml:space="preserve"> </v>
      </c>
      <c r="W56" s="60" t="str">
        <f>IF('Course Analysis'!W$42='Course Information'!$D17,'Course Report'!$I17," ")</f>
        <v xml:space="preserve"> </v>
      </c>
      <c r="X56" s="60" t="str">
        <f>IF('Course Analysis'!X$42='Course Information'!$C17,'Course Report'!$I17," ")</f>
        <v xml:space="preserve"> </v>
      </c>
      <c r="Y56" s="60" t="str">
        <f>IF('Course Analysis'!Y$42='Course Information'!$D17,'Course Report'!$I17," ")</f>
        <v xml:space="preserve"> </v>
      </c>
      <c r="AB56" s="6" t="str">
        <f>P62</f>
        <v xml:space="preserve"> </v>
      </c>
    </row>
    <row r="57" spans="1:28" x14ac:dyDescent="0.25">
      <c r="A57" s="22">
        <v>9</v>
      </c>
      <c r="B57" s="60" t="str">
        <f>IF('Course Analysis'!B$42='Course Information'!$C18,'Course Report'!$I18," ")</f>
        <v xml:space="preserve"> </v>
      </c>
      <c r="C57" s="60" t="str">
        <f>IF('Course Analysis'!C$42='Course Information'!$D18,'Course Report'!$I18," ")</f>
        <v xml:space="preserve"> </v>
      </c>
      <c r="D57" s="60" t="str">
        <f>IF('Course Analysis'!D$42='Course Information'!$C18,'Course Report'!$I18," ")</f>
        <v xml:space="preserve"> </v>
      </c>
      <c r="E57" s="60" t="str">
        <f>IF('Course Analysis'!E$42='Course Information'!$D18,'Course Report'!$I18," ")</f>
        <v xml:space="preserve"> </v>
      </c>
      <c r="F57" s="60" t="str">
        <f>IF('Course Analysis'!F$42='Course Information'!$C18,'Course Report'!$I18," ")</f>
        <v xml:space="preserve"> </v>
      </c>
      <c r="G57" s="60" t="str">
        <f>IF('Course Analysis'!G$42='Course Information'!$D18,'Course Report'!$I18," ")</f>
        <v xml:space="preserve"> </v>
      </c>
      <c r="H57" s="60" t="str">
        <f>IF('Course Analysis'!H$42='Course Information'!$C18,'Course Report'!$I18," ")</f>
        <v xml:space="preserve"> </v>
      </c>
      <c r="I57" s="60" t="str">
        <f>IF('Course Analysis'!I$42='Course Information'!$D18,'Course Report'!$I18," ")</f>
        <v xml:space="preserve"> </v>
      </c>
      <c r="J57" s="60" t="str">
        <f>IF('Course Analysis'!J$42='Course Information'!$C18,'Course Report'!$I18," ")</f>
        <v xml:space="preserve"> </v>
      </c>
      <c r="K57" s="60" t="str">
        <f>IF('Course Analysis'!K$42='Course Information'!$D18,'Course Report'!$I18," ")</f>
        <v xml:space="preserve"> </v>
      </c>
      <c r="L57" s="60" t="str">
        <f>IF('Course Analysis'!L$42='Course Information'!$C18,'Course Report'!$I18," ")</f>
        <v xml:space="preserve"> </v>
      </c>
      <c r="M57" s="60" t="str">
        <f>IF('Course Analysis'!M$42='Course Information'!$D18,'Course Report'!$I18," ")</f>
        <v xml:space="preserve"> </v>
      </c>
      <c r="N57" s="60" t="str">
        <f>IF('Course Analysis'!N$42='Course Information'!$C18,'Course Report'!$I18," ")</f>
        <v xml:space="preserve"> </v>
      </c>
      <c r="O57" s="60" t="str">
        <f>IF('Course Analysis'!O$42='Course Information'!$D18,'Course Report'!$I18," ")</f>
        <v xml:space="preserve"> </v>
      </c>
      <c r="P57" s="60" t="str">
        <f>IF('Course Analysis'!P$42='Course Information'!$C18,'Course Report'!$I18," ")</f>
        <v xml:space="preserve"> </v>
      </c>
      <c r="Q57" s="60" t="str">
        <f>IF('Course Analysis'!Q$42='Course Information'!$D18,'Course Report'!$I18," ")</f>
        <v xml:space="preserve"> </v>
      </c>
      <c r="R57" s="60" t="str">
        <f>IF('Course Analysis'!R$42='Course Information'!$C18,'Course Report'!$I18," ")</f>
        <v xml:space="preserve"> </v>
      </c>
      <c r="S57" s="60" t="str">
        <f>IF('Course Analysis'!S$42='Course Information'!$D18,'Course Report'!$I18," ")</f>
        <v xml:space="preserve"> </v>
      </c>
      <c r="T57" s="60" t="str">
        <f>IF('Course Analysis'!T$42='Course Information'!$C18,'Course Report'!$I18," ")</f>
        <v xml:space="preserve"> </v>
      </c>
      <c r="U57" s="60" t="str">
        <f>IF('Course Analysis'!U$42='Course Information'!$D18,'Course Report'!$I18," ")</f>
        <v xml:space="preserve"> </v>
      </c>
      <c r="V57" s="60" t="str">
        <f>IF('Course Analysis'!V$42='Course Information'!$C18,'Course Report'!$I18," ")</f>
        <v xml:space="preserve"> </v>
      </c>
      <c r="W57" s="60" t="str">
        <f>IF('Course Analysis'!W$42='Course Information'!$D18,'Course Report'!$I18," ")</f>
        <v xml:space="preserve"> </v>
      </c>
      <c r="X57" s="60" t="str">
        <f>IF('Course Analysis'!X$42='Course Information'!$C18,'Course Report'!$I18," ")</f>
        <v xml:space="preserve"> </v>
      </c>
      <c r="Y57" s="60" t="str">
        <f>IF('Course Analysis'!Y$42='Course Information'!$D18,'Course Report'!$I18," ")</f>
        <v xml:space="preserve"> </v>
      </c>
      <c r="AB57" s="6" t="str">
        <f>R62</f>
        <v xml:space="preserve"> </v>
      </c>
    </row>
    <row r="58" spans="1:28" x14ac:dyDescent="0.25">
      <c r="A58" s="22">
        <v>10</v>
      </c>
      <c r="B58" s="60" t="str">
        <f>IF('Course Analysis'!B$42='Course Information'!$C19,'Course Report'!$I19," ")</f>
        <v xml:space="preserve"> </v>
      </c>
      <c r="C58" s="60" t="str">
        <f>IF('Course Analysis'!C$42='Course Information'!$D19,'Course Report'!$I19," ")</f>
        <v xml:space="preserve"> </v>
      </c>
      <c r="D58" s="60" t="str">
        <f>IF('Course Analysis'!D$42='Course Information'!$C19,'Course Report'!$I19," ")</f>
        <v xml:space="preserve"> </v>
      </c>
      <c r="E58" s="60" t="str">
        <f>IF('Course Analysis'!E$42='Course Information'!$D19,'Course Report'!$I19," ")</f>
        <v xml:space="preserve"> </v>
      </c>
      <c r="F58" s="60" t="str">
        <f>IF('Course Analysis'!F$42='Course Information'!$C19,'Course Report'!$I19," ")</f>
        <v xml:space="preserve"> </v>
      </c>
      <c r="G58" s="60" t="str">
        <f>IF('Course Analysis'!G$42='Course Information'!$D19,'Course Report'!$I19," ")</f>
        <v xml:space="preserve"> </v>
      </c>
      <c r="H58" s="60" t="str">
        <f>IF('Course Analysis'!H$42='Course Information'!$C19,'Course Report'!$I19," ")</f>
        <v xml:space="preserve"> </v>
      </c>
      <c r="I58" s="60" t="str">
        <f>IF('Course Analysis'!I$42='Course Information'!$D19,'Course Report'!$I19," ")</f>
        <v xml:space="preserve"> </v>
      </c>
      <c r="J58" s="60" t="str">
        <f>IF('Course Analysis'!J$42='Course Information'!$C19,'Course Report'!$I19," ")</f>
        <v xml:space="preserve"> </v>
      </c>
      <c r="K58" s="60" t="str">
        <f>IF('Course Analysis'!K$42='Course Information'!$D19,'Course Report'!$I19," ")</f>
        <v xml:space="preserve"> </v>
      </c>
      <c r="L58" s="60" t="str">
        <f>IF('Course Analysis'!L$42='Course Information'!$C19,'Course Report'!$I19," ")</f>
        <v xml:space="preserve"> </v>
      </c>
      <c r="M58" s="60" t="str">
        <f>IF('Course Analysis'!M$42='Course Information'!$D19,'Course Report'!$I19," ")</f>
        <v xml:space="preserve"> </v>
      </c>
      <c r="N58" s="60" t="str">
        <f>IF('Course Analysis'!N$42='Course Information'!$C19,'Course Report'!$I19," ")</f>
        <v xml:space="preserve"> </v>
      </c>
      <c r="O58" s="60" t="str">
        <f>IF('Course Analysis'!O$42='Course Information'!$D19,'Course Report'!$I19," ")</f>
        <v xml:space="preserve"> </v>
      </c>
      <c r="P58" s="60" t="str">
        <f>IF('Course Analysis'!P$42='Course Information'!$C19,'Course Report'!$I19," ")</f>
        <v xml:space="preserve"> </v>
      </c>
      <c r="Q58" s="60" t="str">
        <f>IF('Course Analysis'!Q$42='Course Information'!$D19,'Course Report'!$I19," ")</f>
        <v xml:space="preserve"> </v>
      </c>
      <c r="R58" s="60" t="str">
        <f>IF('Course Analysis'!R$42='Course Information'!$C19,'Course Report'!$I19," ")</f>
        <v xml:space="preserve"> </v>
      </c>
      <c r="S58" s="60" t="str">
        <f>IF('Course Analysis'!S$42='Course Information'!$D19,'Course Report'!$I19," ")</f>
        <v xml:space="preserve"> </v>
      </c>
      <c r="T58" s="60" t="str">
        <f>IF('Course Analysis'!T$42='Course Information'!$C19,'Course Report'!$I19," ")</f>
        <v xml:space="preserve"> </v>
      </c>
      <c r="U58" s="60" t="str">
        <f>IF('Course Analysis'!U$42='Course Information'!$D19,'Course Report'!$I19," ")</f>
        <v xml:space="preserve"> </v>
      </c>
      <c r="V58" s="60" t="str">
        <f>IF('Course Analysis'!V$42='Course Information'!$C19,'Course Report'!$I19," ")</f>
        <v xml:space="preserve"> </v>
      </c>
      <c r="W58" s="60" t="str">
        <f>IF('Course Analysis'!W$42='Course Information'!$D19,'Course Report'!$I19," ")</f>
        <v xml:space="preserve"> </v>
      </c>
      <c r="X58" s="60" t="str">
        <f>IF('Course Analysis'!X$42='Course Information'!$C19,'Course Report'!$I19," ")</f>
        <v xml:space="preserve"> </v>
      </c>
      <c r="Y58" s="60" t="str">
        <f>IF('Course Analysis'!Y$42='Course Information'!$D19,'Course Report'!$I19," ")</f>
        <v xml:space="preserve"> </v>
      </c>
      <c r="AB58" s="6" t="str">
        <f>T62</f>
        <v xml:space="preserve"> </v>
      </c>
    </row>
    <row r="59" spans="1:28" x14ac:dyDescent="0.25">
      <c r="A59" s="22">
        <v>11</v>
      </c>
      <c r="B59" s="60" t="str">
        <f>IF('Course Analysis'!B$42='Course Information'!$C20,'Course Report'!$I20," ")</f>
        <v xml:space="preserve"> </v>
      </c>
      <c r="C59" s="60" t="str">
        <f>IF('Course Analysis'!C$42='Course Information'!$D20,'Course Report'!$I20," ")</f>
        <v xml:space="preserve"> </v>
      </c>
      <c r="D59" s="60" t="str">
        <f>IF('Course Analysis'!D$42='Course Information'!$C20,'Course Report'!$I20," ")</f>
        <v xml:space="preserve"> </v>
      </c>
      <c r="E59" s="60" t="str">
        <f>IF('Course Analysis'!E$42='Course Information'!$D20,'Course Report'!$I20," ")</f>
        <v xml:space="preserve"> </v>
      </c>
      <c r="F59" s="60" t="str">
        <f>IF('Course Analysis'!F$42='Course Information'!$C20,'Course Report'!$I20," ")</f>
        <v xml:space="preserve"> </v>
      </c>
      <c r="G59" s="60" t="str">
        <f>IF('Course Analysis'!G$42='Course Information'!$D20,'Course Report'!$I20," ")</f>
        <v xml:space="preserve"> </v>
      </c>
      <c r="H59" s="60" t="str">
        <f>IF('Course Analysis'!H$42='Course Information'!$C20,'Course Report'!$I20," ")</f>
        <v xml:space="preserve"> </v>
      </c>
      <c r="I59" s="60" t="str">
        <f>IF('Course Analysis'!I$42='Course Information'!$D20,'Course Report'!$I20," ")</f>
        <v xml:space="preserve"> </v>
      </c>
      <c r="J59" s="60" t="str">
        <f>IF('Course Analysis'!J$42='Course Information'!$C20,'Course Report'!$I20," ")</f>
        <v xml:space="preserve"> </v>
      </c>
      <c r="K59" s="60" t="str">
        <f>IF('Course Analysis'!K$42='Course Information'!$D20,'Course Report'!$I20," ")</f>
        <v xml:space="preserve"> </v>
      </c>
      <c r="L59" s="60" t="str">
        <f>IF('Course Analysis'!L$42='Course Information'!$C20,'Course Report'!$I20," ")</f>
        <v xml:space="preserve"> </v>
      </c>
      <c r="M59" s="60" t="str">
        <f>IF('Course Analysis'!M$42='Course Information'!$D20,'Course Report'!$I20," ")</f>
        <v xml:space="preserve"> </v>
      </c>
      <c r="N59" s="60" t="str">
        <f>IF('Course Analysis'!N$42='Course Information'!$C20,'Course Report'!$I20," ")</f>
        <v xml:space="preserve"> </v>
      </c>
      <c r="O59" s="60" t="str">
        <f>IF('Course Analysis'!O$42='Course Information'!$D20,'Course Report'!$I20," ")</f>
        <v xml:space="preserve"> </v>
      </c>
      <c r="P59" s="60" t="str">
        <f>IF('Course Analysis'!P$42='Course Information'!$C20,'Course Report'!$I20," ")</f>
        <v xml:space="preserve"> </v>
      </c>
      <c r="Q59" s="60" t="str">
        <f>IF('Course Analysis'!Q$42='Course Information'!$D20,'Course Report'!$I20," ")</f>
        <v xml:space="preserve"> </v>
      </c>
      <c r="R59" s="60" t="str">
        <f>IF('Course Analysis'!R$42='Course Information'!$C20,'Course Report'!$I20," ")</f>
        <v xml:space="preserve"> </v>
      </c>
      <c r="S59" s="60" t="str">
        <f>IF('Course Analysis'!S$42='Course Information'!$D20,'Course Report'!$I20," ")</f>
        <v xml:space="preserve"> </v>
      </c>
      <c r="T59" s="60" t="str">
        <f>IF('Course Analysis'!T$42='Course Information'!$C20,'Course Report'!$I20," ")</f>
        <v xml:space="preserve"> </v>
      </c>
      <c r="U59" s="60" t="str">
        <f>IF('Course Analysis'!U$42='Course Information'!$D20,'Course Report'!$I20," ")</f>
        <v xml:space="preserve"> </v>
      </c>
      <c r="V59" s="60" t="str">
        <f>IF('Course Analysis'!V$42='Course Information'!$C20,'Course Report'!$I20," ")</f>
        <v xml:space="preserve"> </v>
      </c>
      <c r="W59" s="60" t="str">
        <f>IF('Course Analysis'!W$42='Course Information'!$D20,'Course Report'!$I20," ")</f>
        <v xml:space="preserve"> </v>
      </c>
      <c r="X59" s="60" t="str">
        <f>IF('Course Analysis'!X$42='Course Information'!$C20,'Course Report'!$I20," ")</f>
        <v xml:space="preserve"> </v>
      </c>
      <c r="Y59" s="60" t="str">
        <f>IF('Course Analysis'!Y$42='Course Information'!$D20,'Course Report'!$I20," ")</f>
        <v xml:space="preserve"> </v>
      </c>
      <c r="AB59" s="6" t="str">
        <f>V62</f>
        <v xml:space="preserve"> </v>
      </c>
    </row>
    <row r="60" spans="1:28" x14ac:dyDescent="0.25">
      <c r="A60" s="22">
        <v>12</v>
      </c>
      <c r="B60" s="60" t="str">
        <f>IF('Course Analysis'!B$42='Course Information'!$C21,'Course Report'!$I21," ")</f>
        <v xml:space="preserve"> </v>
      </c>
      <c r="C60" s="60" t="str">
        <f>IF('Course Analysis'!C$42='Course Information'!$D21,'Course Report'!$I21," ")</f>
        <v xml:space="preserve"> </v>
      </c>
      <c r="D60" s="60" t="str">
        <f>IF('Course Analysis'!D$42='Course Information'!$C21,'Course Report'!$I21," ")</f>
        <v xml:space="preserve"> </v>
      </c>
      <c r="E60" s="60" t="str">
        <f>IF('Course Analysis'!E$42='Course Information'!$D21,'Course Report'!$I21," ")</f>
        <v xml:space="preserve"> </v>
      </c>
      <c r="F60" s="60" t="str">
        <f>IF('Course Analysis'!F$42='Course Information'!$C21,'Course Report'!$I21," ")</f>
        <v xml:space="preserve"> </v>
      </c>
      <c r="G60" s="60" t="str">
        <f>IF('Course Analysis'!G$42='Course Information'!$D21,'Course Report'!$I21," ")</f>
        <v xml:space="preserve"> </v>
      </c>
      <c r="H60" s="60" t="str">
        <f>IF('Course Analysis'!H$42='Course Information'!$C21,'Course Report'!$I21," ")</f>
        <v xml:space="preserve"> </v>
      </c>
      <c r="I60" s="60" t="str">
        <f>IF('Course Analysis'!I$42='Course Information'!$D21,'Course Report'!$I21," ")</f>
        <v xml:space="preserve"> </v>
      </c>
      <c r="J60" s="60" t="str">
        <f>IF('Course Analysis'!J$42='Course Information'!$C21,'Course Report'!$I21," ")</f>
        <v xml:space="preserve"> </v>
      </c>
      <c r="K60" s="60" t="str">
        <f>IF('Course Analysis'!K$42='Course Information'!$D21,'Course Report'!$I21," ")</f>
        <v xml:space="preserve"> </v>
      </c>
      <c r="L60" s="60" t="str">
        <f>IF('Course Analysis'!L$42='Course Information'!$C21,'Course Report'!$I21," ")</f>
        <v xml:space="preserve"> </v>
      </c>
      <c r="M60" s="60" t="str">
        <f>IF('Course Analysis'!M$42='Course Information'!$D21,'Course Report'!$I21," ")</f>
        <v xml:space="preserve"> </v>
      </c>
      <c r="N60" s="60" t="str">
        <f>IF('Course Analysis'!N$42='Course Information'!$C21,'Course Report'!$I21," ")</f>
        <v xml:space="preserve"> </v>
      </c>
      <c r="O60" s="60" t="str">
        <f>IF('Course Analysis'!O$42='Course Information'!$D21,'Course Report'!$I21," ")</f>
        <v xml:space="preserve"> </v>
      </c>
      <c r="P60" s="60" t="str">
        <f>IF('Course Analysis'!P$42='Course Information'!$C21,'Course Report'!$I21," ")</f>
        <v xml:space="preserve"> </v>
      </c>
      <c r="Q60" s="60" t="str">
        <f>IF('Course Analysis'!Q$42='Course Information'!$D21,'Course Report'!$I21," ")</f>
        <v xml:space="preserve"> </v>
      </c>
      <c r="R60" s="60" t="str">
        <f>IF('Course Analysis'!R$42='Course Information'!$C21,'Course Report'!$I21," ")</f>
        <v xml:space="preserve"> </v>
      </c>
      <c r="S60" s="60" t="str">
        <f>IF('Course Analysis'!S$42='Course Information'!$D21,'Course Report'!$I21," ")</f>
        <v xml:space="preserve"> </v>
      </c>
      <c r="T60" s="60" t="str">
        <f>IF('Course Analysis'!T$42='Course Information'!$C21,'Course Report'!$I21," ")</f>
        <v xml:space="preserve"> </v>
      </c>
      <c r="U60" s="60" t="str">
        <f>IF('Course Analysis'!U$42='Course Information'!$D21,'Course Report'!$I21," ")</f>
        <v xml:space="preserve"> </v>
      </c>
      <c r="V60" s="60" t="str">
        <f>IF('Course Analysis'!V$42='Course Information'!$C21,'Course Report'!$I21," ")</f>
        <v xml:space="preserve"> </v>
      </c>
      <c r="W60" s="60" t="str">
        <f>IF('Course Analysis'!W$42='Course Information'!$D21,'Course Report'!$I21," ")</f>
        <v xml:space="preserve"> </v>
      </c>
      <c r="X60" s="60" t="str">
        <f>IF('Course Analysis'!X$42='Course Information'!$C21,'Course Report'!$I21," ")</f>
        <v xml:space="preserve"> </v>
      </c>
      <c r="Y60" s="60" t="str">
        <f>IF('Course Analysis'!Y$42='Course Information'!$D21,'Course Report'!$I21," ")</f>
        <v xml:space="preserve"> </v>
      </c>
      <c r="AB60" s="6" t="str">
        <f>X62</f>
        <v xml:space="preserve"> </v>
      </c>
    </row>
    <row r="61" spans="1:28" x14ac:dyDescent="0.25">
      <c r="A61" s="5" t="s">
        <v>41</v>
      </c>
      <c r="B61" s="61" t="e">
        <f t="shared" ref="B61:U61" si="1">AVERAGE(B49:B58)</f>
        <v>#DIV/0!</v>
      </c>
      <c r="C61" s="61" t="e">
        <f t="shared" si="1"/>
        <v>#DIV/0!</v>
      </c>
      <c r="D61" s="61" t="e">
        <f t="shared" si="1"/>
        <v>#DIV/0!</v>
      </c>
      <c r="E61" s="61" t="e">
        <f t="shared" si="1"/>
        <v>#DIV/0!</v>
      </c>
      <c r="F61" s="61" t="e">
        <f t="shared" si="1"/>
        <v>#DIV/0!</v>
      </c>
      <c r="G61" s="61" t="e">
        <f t="shared" si="1"/>
        <v>#DIV/0!</v>
      </c>
      <c r="H61" s="61" t="e">
        <f>AVERAGE(H49:H58)</f>
        <v>#DIV/0!</v>
      </c>
      <c r="I61" s="61" t="e">
        <f t="shared" si="1"/>
        <v>#DIV/0!</v>
      </c>
      <c r="J61" s="61" t="e">
        <f>AVERAGE(J49:J58)</f>
        <v>#DIV/0!</v>
      </c>
      <c r="K61" s="61" t="e">
        <f t="shared" si="1"/>
        <v>#DIV/0!</v>
      </c>
      <c r="L61" s="61" t="e">
        <f t="shared" si="1"/>
        <v>#DIV/0!</v>
      </c>
      <c r="M61" s="61" t="e">
        <f t="shared" si="1"/>
        <v>#DIV/0!</v>
      </c>
      <c r="N61" s="61" t="e">
        <f t="shared" si="1"/>
        <v>#DIV/0!</v>
      </c>
      <c r="O61" s="61" t="e">
        <f t="shared" si="1"/>
        <v>#DIV/0!</v>
      </c>
      <c r="P61" s="61" t="e">
        <f t="shared" si="1"/>
        <v>#DIV/0!</v>
      </c>
      <c r="Q61" s="61" t="e">
        <f t="shared" si="1"/>
        <v>#DIV/0!</v>
      </c>
      <c r="R61" s="61" t="e">
        <f t="shared" si="1"/>
        <v>#DIV/0!</v>
      </c>
      <c r="S61" s="61" t="e">
        <f t="shared" si="1"/>
        <v>#DIV/0!</v>
      </c>
      <c r="T61" s="61" t="e">
        <f>AVERAGE(T49:T58)</f>
        <v>#DIV/0!</v>
      </c>
      <c r="U61" s="61" t="e">
        <f t="shared" si="1"/>
        <v>#DIV/0!</v>
      </c>
      <c r="V61" s="61" t="e">
        <f t="shared" ref="V61:W61" si="2">AVERAGE(V49:V58)</f>
        <v>#DIV/0!</v>
      </c>
      <c r="W61" s="61" t="e">
        <f t="shared" si="2"/>
        <v>#DIV/0!</v>
      </c>
      <c r="X61" s="61" t="e">
        <f>AVERAGE(X49:X58)</f>
        <v>#DIV/0!</v>
      </c>
      <c r="Y61" s="61" t="e">
        <f t="shared" ref="Y61" si="3">AVERAGE(Y49:Y58)</f>
        <v>#DIV/0!</v>
      </c>
    </row>
    <row r="62" spans="1:28" x14ac:dyDescent="0.25">
      <c r="A62" s="5" t="s">
        <v>41</v>
      </c>
      <c r="B62" s="62" t="str">
        <f>IF(SUM(B49:B58,C49:C58)=0," ", AVERAGE(B49:B58,C49:C58))</f>
        <v xml:space="preserve"> </v>
      </c>
      <c r="C62" s="63"/>
      <c r="D62" s="62" t="str">
        <f>IF(SUM(D49:D60,E49:E60)=0," ", AVERAGE(D49:D60,E49:E60))</f>
        <v xml:space="preserve"> </v>
      </c>
      <c r="E62" s="63"/>
      <c r="F62" s="62" t="str">
        <f t="shared" ref="F62" si="4">IF(SUM(F49:F58,G49:G58)=0," ", AVERAGE(F49:F58,G49:G58))</f>
        <v xml:space="preserve"> </v>
      </c>
      <c r="G62" s="63"/>
      <c r="H62" s="62" t="str">
        <f t="shared" ref="H62" si="5">IF(SUM(H49:H58,I49:I58)=0," ", AVERAGE(H49:H58,I49:I58))</f>
        <v xml:space="preserve"> </v>
      </c>
      <c r="I62" s="63"/>
      <c r="J62" s="62" t="str">
        <f t="shared" ref="J62" si="6">IF(SUM(J49:J58,K49:K58)=0," ", AVERAGE(J49:J58,K49:K58))</f>
        <v xml:space="preserve"> </v>
      </c>
      <c r="K62" s="63"/>
      <c r="L62" s="62" t="str">
        <f t="shared" ref="L62" si="7">IF(SUM(L49:L58,M49:M58)=0," ", AVERAGE(L49:L58,M49:M58))</f>
        <v xml:space="preserve"> </v>
      </c>
      <c r="M62" s="63"/>
      <c r="N62" s="62" t="str">
        <f t="shared" ref="N62" si="8">IF(SUM(N49:N58,O49:O58)=0," ", AVERAGE(N49:N58,O49:O58))</f>
        <v xml:space="preserve"> </v>
      </c>
      <c r="O62" s="63"/>
      <c r="P62" s="62" t="str">
        <f t="shared" ref="P62" si="9">IF(SUM(P49:P58,Q49:Q58)=0," ", AVERAGE(P49:P58,Q49:Q58))</f>
        <v xml:space="preserve"> </v>
      </c>
      <c r="Q62" s="63"/>
      <c r="R62" s="62" t="str">
        <f t="shared" ref="R62" si="10">IF(SUM(R49:R58,S49:S58)=0," ", AVERAGE(R49:R58,S49:S58))</f>
        <v xml:space="preserve"> </v>
      </c>
      <c r="S62" s="63"/>
      <c r="T62" s="62" t="str">
        <f t="shared" ref="T62" si="11">IF(SUM(T49:T58,U49:U58)=0," ", AVERAGE(T49:T58,U49:U58))</f>
        <v xml:space="preserve"> </v>
      </c>
      <c r="U62" s="63"/>
      <c r="V62" s="62" t="str">
        <f t="shared" ref="V62" si="12">IF(SUM(V49:V58,W49:W58)=0," ", AVERAGE(V49:V58,W49:W58))</f>
        <v xml:space="preserve"> </v>
      </c>
      <c r="W62" s="63"/>
      <c r="X62" s="62" t="str">
        <f t="shared" ref="X62" si="13">IF(SUM(X49:X58,Y49:Y58)=0," ", AVERAGE(X49:X58,Y49:Y58))</f>
        <v xml:space="preserve"> </v>
      </c>
      <c r="Y62" s="63"/>
    </row>
    <row r="63" spans="1:28" x14ac:dyDescent="0.25">
      <c r="B63" s="59">
        <v>1</v>
      </c>
      <c r="C63" s="59">
        <v>1</v>
      </c>
      <c r="D63" s="59">
        <v>2</v>
      </c>
      <c r="E63" s="59">
        <v>2</v>
      </c>
      <c r="F63" s="59">
        <v>3</v>
      </c>
      <c r="G63" s="59">
        <v>3</v>
      </c>
      <c r="H63" s="59">
        <v>4</v>
      </c>
      <c r="I63" s="59">
        <v>4</v>
      </c>
      <c r="J63" s="59">
        <v>5</v>
      </c>
      <c r="K63" s="59">
        <v>5</v>
      </c>
      <c r="L63" s="59">
        <v>6</v>
      </c>
      <c r="M63" s="59">
        <v>6</v>
      </c>
      <c r="N63" s="59">
        <v>7</v>
      </c>
      <c r="O63" s="59">
        <v>7</v>
      </c>
      <c r="P63" s="59">
        <v>8</v>
      </c>
      <c r="Q63" s="59">
        <v>8</v>
      </c>
      <c r="R63" s="59">
        <v>9</v>
      </c>
      <c r="S63" s="59">
        <v>9</v>
      </c>
      <c r="T63" s="59">
        <v>10</v>
      </c>
      <c r="U63" s="59">
        <v>10</v>
      </c>
      <c r="V63" s="59">
        <v>11</v>
      </c>
      <c r="W63" s="59">
        <v>11</v>
      </c>
      <c r="X63" s="59">
        <v>12</v>
      </c>
      <c r="Y63" s="59">
        <v>12</v>
      </c>
    </row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spans="1:399" hidden="1" x14ac:dyDescent="0.25"/>
    <row r="98" spans="1:399" hidden="1" x14ac:dyDescent="0.25"/>
    <row r="104" spans="1:399" ht="26.25" x14ac:dyDescent="0.4">
      <c r="L104" s="639" t="s">
        <v>44</v>
      </c>
      <c r="M104" s="574"/>
      <c r="N104" s="574"/>
      <c r="O104" s="574"/>
      <c r="P104" s="574"/>
      <c r="Q104" s="574"/>
    </row>
    <row r="105" spans="1:399" x14ac:dyDescent="0.25">
      <c r="A105" s="50" t="s">
        <v>43</v>
      </c>
      <c r="D105" t="s">
        <v>131</v>
      </c>
      <c r="Y105" t="s">
        <v>23</v>
      </c>
      <c r="BN105" t="s">
        <v>24</v>
      </c>
      <c r="BX105" t="s">
        <v>191</v>
      </c>
      <c r="BY105" t="s">
        <v>192</v>
      </c>
      <c r="BZ105" t="s">
        <v>193</v>
      </c>
      <c r="CA105" t="s">
        <v>194</v>
      </c>
      <c r="CB105" t="s">
        <v>195</v>
      </c>
      <c r="CC105" t="s">
        <v>196</v>
      </c>
      <c r="CD105" t="s">
        <v>197</v>
      </c>
      <c r="CE105" t="s">
        <v>198</v>
      </c>
      <c r="CQ105" t="s">
        <v>58</v>
      </c>
      <c r="CS105" t="s">
        <v>199</v>
      </c>
      <c r="CT105" t="s">
        <v>200</v>
      </c>
      <c r="CU105" t="s">
        <v>201</v>
      </c>
      <c r="CV105" t="s">
        <v>202</v>
      </c>
      <c r="CW105" t="s">
        <v>203</v>
      </c>
      <c r="CX105" t="s">
        <v>204</v>
      </c>
      <c r="CY105" t="s">
        <v>205</v>
      </c>
      <c r="CZ105" s="47" t="s">
        <v>206</v>
      </c>
      <c r="DA105" s="47" t="s">
        <v>191</v>
      </c>
      <c r="DB105" t="s">
        <v>192</v>
      </c>
      <c r="DC105" t="s">
        <v>207</v>
      </c>
      <c r="DD105" t="s">
        <v>207</v>
      </c>
      <c r="DE105" t="s">
        <v>208</v>
      </c>
      <c r="DF105" t="s">
        <v>208</v>
      </c>
      <c r="DG105" t="s">
        <v>209</v>
      </c>
      <c r="DH105" t="s">
        <v>209</v>
      </c>
      <c r="DI105" t="s">
        <v>210</v>
      </c>
      <c r="DJ105" t="s">
        <v>210</v>
      </c>
      <c r="DK105" t="s">
        <v>211</v>
      </c>
      <c r="DL105" t="s">
        <v>211</v>
      </c>
      <c r="DM105" t="s">
        <v>212</v>
      </c>
      <c r="DN105" t="s">
        <v>212</v>
      </c>
      <c r="DO105" t="s">
        <v>213</v>
      </c>
      <c r="DP105" t="s">
        <v>213</v>
      </c>
      <c r="DQ105" t="s">
        <v>214</v>
      </c>
      <c r="DR105" t="s">
        <v>214</v>
      </c>
      <c r="DS105" t="s">
        <v>215</v>
      </c>
      <c r="DT105" t="s">
        <v>215</v>
      </c>
      <c r="DV105" t="s">
        <v>216</v>
      </c>
      <c r="DW105" s="49"/>
      <c r="GE105" t="s">
        <v>217</v>
      </c>
      <c r="GF105" s="49"/>
      <c r="IM105" t="s">
        <v>205</v>
      </c>
      <c r="IN105" t="s">
        <v>206</v>
      </c>
      <c r="IO105" t="s">
        <v>191</v>
      </c>
      <c r="IP105" t="s">
        <v>192</v>
      </c>
      <c r="IR105" t="s">
        <v>60</v>
      </c>
      <c r="JA105" t="s">
        <v>206</v>
      </c>
      <c r="JB105" t="s">
        <v>191</v>
      </c>
      <c r="JC105" t="s">
        <v>192</v>
      </c>
      <c r="JD105" t="s">
        <v>193</v>
      </c>
      <c r="JE105" t="s">
        <v>194</v>
      </c>
      <c r="JF105" t="s">
        <v>195</v>
      </c>
      <c r="JG105" t="s">
        <v>196</v>
      </c>
      <c r="JH105" t="s">
        <v>197</v>
      </c>
      <c r="JI105" t="s">
        <v>198</v>
      </c>
      <c r="JJ105" t="s">
        <v>219</v>
      </c>
      <c r="JK105" t="s">
        <v>220</v>
      </c>
      <c r="JL105" t="s">
        <v>221</v>
      </c>
      <c r="JM105" t="s">
        <v>222</v>
      </c>
      <c r="JN105" t="s">
        <v>223</v>
      </c>
      <c r="JO105" t="s">
        <v>224</v>
      </c>
      <c r="JP105" t="s">
        <v>225</v>
      </c>
      <c r="JQ105" t="s">
        <v>226</v>
      </c>
      <c r="JR105" t="s">
        <v>227</v>
      </c>
      <c r="JS105" t="s">
        <v>228</v>
      </c>
      <c r="JT105" t="s">
        <v>156</v>
      </c>
      <c r="JU105" t="s">
        <v>157</v>
      </c>
      <c r="JV105" t="s">
        <v>107</v>
      </c>
      <c r="JW105" t="s">
        <v>108</v>
      </c>
      <c r="JX105" t="s">
        <v>229</v>
      </c>
      <c r="JY105" t="s">
        <v>230</v>
      </c>
      <c r="JZ105" t="s">
        <v>231</v>
      </c>
      <c r="KA105" t="s">
        <v>232</v>
      </c>
      <c r="KB105" t="s">
        <v>253</v>
      </c>
      <c r="KC105" t="s">
        <v>254</v>
      </c>
      <c r="KD105" t="s">
        <v>233</v>
      </c>
      <c r="KE105" t="s">
        <v>234</v>
      </c>
      <c r="KF105" t="s">
        <v>99</v>
      </c>
      <c r="KG105" t="s">
        <v>100</v>
      </c>
      <c r="KH105" t="s">
        <v>235</v>
      </c>
      <c r="KI105" t="s">
        <v>236</v>
      </c>
      <c r="KJ105" t="s">
        <v>237</v>
      </c>
      <c r="KK105" t="s">
        <v>238</v>
      </c>
      <c r="KL105" t="s">
        <v>239</v>
      </c>
      <c r="KM105" t="s">
        <v>240</v>
      </c>
      <c r="KN105" t="s">
        <v>241</v>
      </c>
      <c r="KO105" t="s">
        <v>242</v>
      </c>
      <c r="KP105" t="s">
        <v>243</v>
      </c>
      <c r="KQ105" t="s">
        <v>244</v>
      </c>
      <c r="KR105" t="s">
        <v>255</v>
      </c>
      <c r="KS105" t="s">
        <v>256</v>
      </c>
      <c r="KT105" t="s">
        <v>245</v>
      </c>
      <c r="KU105" t="s">
        <v>246</v>
      </c>
      <c r="KV105" t="s">
        <v>247</v>
      </c>
      <c r="KW105" t="s">
        <v>248</v>
      </c>
      <c r="KX105" t="s">
        <v>249</v>
      </c>
      <c r="KY105" t="s">
        <v>250</v>
      </c>
      <c r="KZ105" t="s">
        <v>251</v>
      </c>
      <c r="LA105" t="s">
        <v>252</v>
      </c>
      <c r="LC105" t="s">
        <v>218</v>
      </c>
      <c r="LE105" t="s">
        <v>199</v>
      </c>
      <c r="LF105" t="s">
        <v>200</v>
      </c>
      <c r="LG105" t="s">
        <v>201</v>
      </c>
      <c r="LH105" t="s">
        <v>202</v>
      </c>
      <c r="LI105" t="s">
        <v>203</v>
      </c>
      <c r="LJ105" t="s">
        <v>204</v>
      </c>
      <c r="LK105" t="s">
        <v>205</v>
      </c>
      <c r="LL105" t="s">
        <v>206</v>
      </c>
      <c r="LM105" t="s">
        <v>191</v>
      </c>
      <c r="LN105" t="s">
        <v>192</v>
      </c>
      <c r="LO105" t="s">
        <v>193</v>
      </c>
      <c r="LP105" t="s">
        <v>194</v>
      </c>
      <c r="LQ105" t="s">
        <v>195</v>
      </c>
      <c r="LR105" t="s">
        <v>196</v>
      </c>
      <c r="LS105" t="s">
        <v>197</v>
      </c>
      <c r="LT105" t="s">
        <v>198</v>
      </c>
      <c r="LU105" t="s">
        <v>219</v>
      </c>
      <c r="LV105" t="s">
        <v>220</v>
      </c>
      <c r="LW105" t="s">
        <v>221</v>
      </c>
      <c r="LX105" t="s">
        <v>222</v>
      </c>
      <c r="LY105" t="s">
        <v>223</v>
      </c>
      <c r="LZ105" t="s">
        <v>224</v>
      </c>
      <c r="MA105" t="s">
        <v>225</v>
      </c>
      <c r="MB105" t="s">
        <v>226</v>
      </c>
      <c r="MC105" t="s">
        <v>227</v>
      </c>
      <c r="MD105" t="s">
        <v>228</v>
      </c>
      <c r="ME105" t="s">
        <v>156</v>
      </c>
      <c r="MF105" t="s">
        <v>157</v>
      </c>
      <c r="MG105" t="s">
        <v>107</v>
      </c>
      <c r="MH105" t="s">
        <v>108</v>
      </c>
      <c r="MI105" t="s">
        <v>229</v>
      </c>
      <c r="MJ105" t="s">
        <v>230</v>
      </c>
      <c r="MK105" t="s">
        <v>231</v>
      </c>
      <c r="ML105" t="s">
        <v>232</v>
      </c>
      <c r="MM105" t="s">
        <v>253</v>
      </c>
      <c r="MN105" t="s">
        <v>254</v>
      </c>
      <c r="MO105" t="s">
        <v>233</v>
      </c>
      <c r="MP105" t="s">
        <v>234</v>
      </c>
      <c r="MQ105" t="s">
        <v>99</v>
      </c>
      <c r="MR105" t="s">
        <v>100</v>
      </c>
      <c r="MS105" t="s">
        <v>235</v>
      </c>
      <c r="MT105" t="s">
        <v>236</v>
      </c>
      <c r="MU105" t="s">
        <v>237</v>
      </c>
      <c r="MV105" t="s">
        <v>238</v>
      </c>
      <c r="MW105" t="s">
        <v>239</v>
      </c>
      <c r="MX105" t="s">
        <v>240</v>
      </c>
      <c r="MY105" t="s">
        <v>241</v>
      </c>
      <c r="MZ105" t="s">
        <v>242</v>
      </c>
      <c r="NA105" t="s">
        <v>243</v>
      </c>
      <c r="NB105" t="s">
        <v>244</v>
      </c>
      <c r="NC105" t="s">
        <v>255</v>
      </c>
      <c r="ND105" t="s">
        <v>256</v>
      </c>
      <c r="NE105" t="s">
        <v>245</v>
      </c>
      <c r="NF105" t="s">
        <v>246</v>
      </c>
      <c r="NG105" t="s">
        <v>247</v>
      </c>
      <c r="NH105" t="s">
        <v>248</v>
      </c>
      <c r="NI105" t="s">
        <v>249</v>
      </c>
      <c r="NJ105" t="s">
        <v>250</v>
      </c>
      <c r="NK105" t="s">
        <v>251</v>
      </c>
      <c r="NL105" t="s">
        <v>252</v>
      </c>
      <c r="NN105" t="s">
        <v>277</v>
      </c>
      <c r="NP105" t="s">
        <v>199</v>
      </c>
      <c r="NQ105" t="s">
        <v>200</v>
      </c>
      <c r="NR105" t="s">
        <v>201</v>
      </c>
      <c r="NS105" t="s">
        <v>202</v>
      </c>
      <c r="NT105" t="s">
        <v>203</v>
      </c>
      <c r="NU105" t="s">
        <v>204</v>
      </c>
      <c r="NV105" t="s">
        <v>205</v>
      </c>
      <c r="NW105" t="s">
        <v>206</v>
      </c>
      <c r="NX105" t="s">
        <v>191</v>
      </c>
      <c r="NY105" t="s">
        <v>192</v>
      </c>
      <c r="NZ105" t="s">
        <v>193</v>
      </c>
      <c r="OA105" t="s">
        <v>194</v>
      </c>
      <c r="OB105" t="s">
        <v>195</v>
      </c>
      <c r="OC105" t="s">
        <v>196</v>
      </c>
      <c r="OD105" t="s">
        <v>197</v>
      </c>
      <c r="OE105" t="s">
        <v>198</v>
      </c>
      <c r="OF105" t="s">
        <v>219</v>
      </c>
      <c r="OG105" t="s">
        <v>220</v>
      </c>
    </row>
    <row r="106" spans="1:399" ht="18.75" x14ac:dyDescent="0.3">
      <c r="A106" s="48">
        <v>1</v>
      </c>
      <c r="B106" s="55">
        <f>IF(SUM(D106:LA106)=0,0,AVERAGE('Course Analysis'!D106:LA106))</f>
        <v>0</v>
      </c>
      <c r="D106" s="53" t="str">
        <f>IF(Project!C$1=$A106,Project!C$46," ")</f>
        <v xml:space="preserve"> </v>
      </c>
      <c r="E106" s="53" t="str">
        <f>IF(Project!C$2=$A106,Project!C$46," ")</f>
        <v xml:space="preserve"> </v>
      </c>
      <c r="F106" s="53" t="str">
        <f>IF(Project!D$1=$A106,Project!D$46," ")</f>
        <v xml:space="preserve"> </v>
      </c>
      <c r="G106" s="53" t="str">
        <f>IF(Project!D$2=$A106,Project!D$46," ")</f>
        <v xml:space="preserve"> </v>
      </c>
      <c r="H106" s="53" t="str">
        <f>IF(Project!E$1=$A106,Project!E$46," ")</f>
        <v xml:space="preserve"> </v>
      </c>
      <c r="I106" s="53" t="str">
        <f>IF(Project!E$2=$A106,Project!E$46," ")</f>
        <v xml:space="preserve"> </v>
      </c>
      <c r="J106" s="53" t="str">
        <f>IF(Project!F$1=$A106,Project!F$46," ")</f>
        <v xml:space="preserve"> </v>
      </c>
      <c r="K106" s="53" t="str">
        <f>IF(Project!F$2=$A106,Project!F$46," ")</f>
        <v xml:space="preserve"> </v>
      </c>
      <c r="L106" s="53" t="str">
        <f>IF(Project!G$1=$A106,Project!G$46," ")</f>
        <v xml:space="preserve"> </v>
      </c>
      <c r="M106" s="53" t="str">
        <f>IF(Project!G$2=$A106,Project!G$46," ")</f>
        <v xml:space="preserve"> </v>
      </c>
      <c r="N106" s="53" t="str">
        <f>IF(Project!H$1=$A106,Project!H$46," ")</f>
        <v xml:space="preserve"> </v>
      </c>
      <c r="O106" s="53" t="str">
        <f>IF(Project!H$2=$A106,Project!H$46," ")</f>
        <v xml:space="preserve"> </v>
      </c>
      <c r="P106" s="53" t="str">
        <f>IF(Project!I$1=$A106,Project!I$46," ")</f>
        <v xml:space="preserve"> </v>
      </c>
      <c r="Q106" s="53" t="str">
        <f>IF(Project!I$2=$A106,Project!I$46," ")</f>
        <v xml:space="preserve"> </v>
      </c>
      <c r="R106" s="53" t="str">
        <f>IF(Project!J$1=$A106,Project!J$46," ")</f>
        <v xml:space="preserve"> </v>
      </c>
      <c r="S106" s="53" t="str">
        <f>IF(Project!J$2=$A106,Project!J$46," ")</f>
        <v xml:space="preserve"> </v>
      </c>
      <c r="T106" s="53" t="str">
        <f>IF(Project!K$1=$A106,Project!K$46," ")</f>
        <v xml:space="preserve"> </v>
      </c>
      <c r="U106" s="53" t="str">
        <f>IF(Project!K$2=$A106,Project!K$46," ")</f>
        <v xml:space="preserve"> </v>
      </c>
      <c r="V106" s="53" t="str">
        <f>IF(Project!L$1=$A106,Project!L$46," ")</f>
        <v xml:space="preserve"> </v>
      </c>
      <c r="W106" s="53" t="str">
        <f>IF(Project!L$2=$A106,Project!L$46," ")</f>
        <v xml:space="preserve"> </v>
      </c>
      <c r="Y106" s="53" t="str">
        <f>IF(Homework!C$1=$A106,Homework!C$46," ")</f>
        <v xml:space="preserve"> </v>
      </c>
      <c r="Z106" s="53" t="str">
        <f>IF(Homework!C$2=$A106,Homework!C$46," ")</f>
        <v xml:space="preserve"> </v>
      </c>
      <c r="AA106" s="53" t="str">
        <f>IF(Homework!D$1=$A106,Homework!D$46," ")</f>
        <v xml:space="preserve"> </v>
      </c>
      <c r="AB106" s="53" t="str">
        <f>IF(Homework!D$2=$A106,Homework!D$46," ")</f>
        <v xml:space="preserve"> </v>
      </c>
      <c r="AC106" s="53" t="str">
        <f>IF(Homework!E$1=$A106,Homework!E$46," ")</f>
        <v xml:space="preserve"> </v>
      </c>
      <c r="AD106" s="53" t="str">
        <f>IF(Homework!E$2=$A106,Homework!E$46," ")</f>
        <v xml:space="preserve"> </v>
      </c>
      <c r="AE106" s="53" t="str">
        <f>IF(Homework!F$1=$A106,Homework!F$46," ")</f>
        <v xml:space="preserve"> </v>
      </c>
      <c r="AF106" s="53" t="str">
        <f>IF(Homework!F$2=$A106,Homework!F$46," ")</f>
        <v xml:space="preserve"> </v>
      </c>
      <c r="AG106" s="53" t="str">
        <f>IF(Homework!G$1=$A106,Homework!G$46," ")</f>
        <v xml:space="preserve"> </v>
      </c>
      <c r="AH106" s="53" t="str">
        <f>IF(Homework!G$2=$A106,Homework!G$46," ")</f>
        <v xml:space="preserve"> </v>
      </c>
      <c r="AI106" s="53" t="str">
        <f>IF(Homework!H$1=$A106,Homework!H$46," ")</f>
        <v xml:space="preserve"> </v>
      </c>
      <c r="AJ106" s="53" t="str">
        <f>IF(Homework!H$2=$A106,Homework!H$46," ")</f>
        <v xml:space="preserve"> </v>
      </c>
      <c r="AK106" s="53" t="str">
        <f>IF(Homework!I$1=$A106,Homework!I$46," ")</f>
        <v xml:space="preserve"> </v>
      </c>
      <c r="AL106" s="53" t="str">
        <f>IF(Homework!I$2=$A106,Homework!I$46," ")</f>
        <v xml:space="preserve"> </v>
      </c>
      <c r="AM106" s="53" t="str">
        <f>IF(Homework!J$1=$A106,Homework!J$46," ")</f>
        <v xml:space="preserve"> </v>
      </c>
      <c r="AN106" s="53" t="str">
        <f>IF(Homework!J$2=$A106,Homework!J$46," ")</f>
        <v xml:space="preserve"> </v>
      </c>
      <c r="AO106" s="53" t="str">
        <f>IF(Homework!K$1=$A106,Homework!K$46," ")</f>
        <v xml:space="preserve"> </v>
      </c>
      <c r="AP106" s="53" t="str">
        <f>IF(Homework!K$2=$A106,Homework!K$46," ")</f>
        <v xml:space="preserve"> </v>
      </c>
      <c r="AQ106" s="53" t="str">
        <f>IF(Homework!L$1=$A106,Homework!L$46," ")</f>
        <v xml:space="preserve"> </v>
      </c>
      <c r="AR106" s="53" t="str">
        <f>IF(Homework!L$2=$A106,Homework!L$46," ")</f>
        <v xml:space="preserve"> </v>
      </c>
      <c r="AS106" s="53" t="str">
        <f>IF(Homework!M$1=$A106,Homework!M$46," ")</f>
        <v xml:space="preserve"> </v>
      </c>
      <c r="AT106" s="53" t="str">
        <f>IF(Homework!M$2=$A106,Homework!M$46," ")</f>
        <v xml:space="preserve"> </v>
      </c>
      <c r="AU106" s="53" t="str">
        <f>IF(Homework!N$1=$A106,Homework!N$46," ")</f>
        <v xml:space="preserve"> </v>
      </c>
      <c r="AV106" s="53" t="str">
        <f>IF(Homework!N$2=$A106,Homework!N$46," ")</f>
        <v xml:space="preserve"> </v>
      </c>
      <c r="AW106" s="53" t="str">
        <f>IF(Homework!O$1=$A106,Homework!O$46," ")</f>
        <v xml:space="preserve"> </v>
      </c>
      <c r="AX106" s="53" t="str">
        <f>IF(Homework!O$2=$A106,Homework!O$46," ")</f>
        <v xml:space="preserve"> </v>
      </c>
      <c r="AY106" s="53" t="str">
        <f>IF(Homework!P$1=$A106,Homework!P$46," ")</f>
        <v xml:space="preserve"> </v>
      </c>
      <c r="AZ106" s="53" t="str">
        <f>IF(Homework!P$2=$A106,Homework!P$46," ")</f>
        <v xml:space="preserve"> </v>
      </c>
      <c r="BA106" s="53" t="str">
        <f>IF(Homework!Q$1=$A106,Homework!Q$46," ")</f>
        <v xml:space="preserve"> </v>
      </c>
      <c r="BB106" s="53" t="str">
        <f>IF(Homework!Q$2=$A106,Homework!Q$46," ")</f>
        <v xml:space="preserve"> </v>
      </c>
      <c r="BC106" s="53" t="str">
        <f>IF(Homework!R$1=$A106,Homework!R$46," ")</f>
        <v xml:space="preserve"> </v>
      </c>
      <c r="BD106" s="53" t="str">
        <f>IF(Homework!R$2=$A106,Homework!R$46," ")</f>
        <v xml:space="preserve"> </v>
      </c>
      <c r="BE106" s="53" t="str">
        <f>IF(Homework!S$1=$A106,Homework!S$46," ")</f>
        <v xml:space="preserve"> </v>
      </c>
      <c r="BF106" s="53" t="str">
        <f>IF(Homework!S$2=$A106,Homework!S$46," ")</f>
        <v xml:space="preserve"> </v>
      </c>
      <c r="BG106" s="53" t="str">
        <f>IF(Homework!T$1=$A106,Homework!T$46," ")</f>
        <v xml:space="preserve"> </v>
      </c>
      <c r="BH106" s="53" t="str">
        <f>IF(Homework!T$2=$A106,Homework!T$46," ")</f>
        <v xml:space="preserve"> </v>
      </c>
      <c r="BI106" s="53" t="str">
        <f>IF(Homework!U$1=$A106,Homework!U$46," ")</f>
        <v xml:space="preserve"> </v>
      </c>
      <c r="BJ106" s="53" t="str">
        <f>IF(Homework!U$2=$A106,Homework!U$46," ")</f>
        <v xml:space="preserve"> </v>
      </c>
      <c r="BK106" s="53" t="str">
        <f>IF(Homework!V$1=$A106,Homework!V$46," ")</f>
        <v xml:space="preserve"> </v>
      </c>
      <c r="BL106" s="53" t="str">
        <f>IF(Homework!V$2=$A106,Homework!V$46," ")</f>
        <v xml:space="preserve"> </v>
      </c>
      <c r="BN106" s="66" t="str">
        <f>IF(Laboratory!C$1=$A106,Laboratory!C$46," ")</f>
        <v xml:space="preserve"> </v>
      </c>
      <c r="BO106" s="66" t="str">
        <f>IF(Laboratory!C$2=$A106,Laboratory!C$46," ")</f>
        <v xml:space="preserve"> </v>
      </c>
      <c r="BP106" s="66" t="str">
        <f>IF(Laboratory!D$1=$A106,Laboratory!D$46," ")</f>
        <v xml:space="preserve"> </v>
      </c>
      <c r="BQ106" s="66" t="str">
        <f>IF(Laboratory!D$2=$A106,Laboratory!D$46," ")</f>
        <v xml:space="preserve"> </v>
      </c>
      <c r="BR106" s="66" t="str">
        <f>IF(Laboratory!E$1=$A106,Laboratory!E$46," ")</f>
        <v xml:space="preserve"> </v>
      </c>
      <c r="BS106" s="66" t="str">
        <f>IF(Laboratory!E$2=$A106,Laboratory!E$46," ")</f>
        <v xml:space="preserve"> </v>
      </c>
      <c r="BT106" s="66" t="str">
        <f>IF(Laboratory!F$1=$A106,Laboratory!F$46," ")</f>
        <v xml:space="preserve"> </v>
      </c>
      <c r="BU106" s="66" t="str">
        <f>IF(Laboratory!F$2=$A106,Laboratory!F$46," ")</f>
        <v xml:space="preserve"> </v>
      </c>
      <c r="BV106" s="66" t="str">
        <f>IF(Laboratory!G$1=$A106,Laboratory!G$46," ")</f>
        <v xml:space="preserve"> </v>
      </c>
      <c r="BW106" s="66" t="str">
        <f>IF(Laboratory!G$2=$A106,Laboratory!G$46," ")</f>
        <v xml:space="preserve"> </v>
      </c>
      <c r="BX106" s="66" t="str">
        <f>IF(Laboratory!H$1=$A106,Laboratory!H$46," ")</f>
        <v xml:space="preserve"> </v>
      </c>
      <c r="BY106" s="66" t="str">
        <f>IF(Laboratory!H$2=$A106,Laboratory!H$46," ")</f>
        <v xml:space="preserve"> </v>
      </c>
      <c r="BZ106" s="66" t="str">
        <f>IF(Laboratory!I$1=$A106,Laboratory!I$46," ")</f>
        <v xml:space="preserve"> </v>
      </c>
      <c r="CA106" s="66" t="str">
        <f>IF(Laboratory!I$2=$A106,Laboratory!I$46," ")</f>
        <v xml:space="preserve"> </v>
      </c>
      <c r="CB106" s="66" t="str">
        <f>IF(Laboratory!J$1=$A106,Laboratory!J$46," ")</f>
        <v xml:space="preserve"> </v>
      </c>
      <c r="CC106" s="66" t="str">
        <f>IF(Laboratory!J$2=$A106,Laboratory!J$46," ")</f>
        <v xml:space="preserve"> </v>
      </c>
      <c r="CD106" s="66" t="str">
        <f>IF(Laboratory!K$1=$A106,Laboratory!K$46," ")</f>
        <v xml:space="preserve"> </v>
      </c>
      <c r="CE106" s="66" t="str">
        <f>IF(Laboratory!K$2=$A106,Laboratory!K$46," ")</f>
        <v xml:space="preserve"> </v>
      </c>
      <c r="CF106" s="66" t="str">
        <f>IF(Laboratory!L$1=$A106,Laboratory!L$46," ")</f>
        <v xml:space="preserve"> </v>
      </c>
      <c r="CG106" s="66" t="str">
        <f>IF(Laboratory!L$2=$A106,Laboratory!L$46," ")</f>
        <v xml:space="preserve"> </v>
      </c>
      <c r="CH106" s="66" t="str">
        <f>IF(Laboratory!M$1=$A106,Laboratory!M$46," ")</f>
        <v xml:space="preserve"> </v>
      </c>
      <c r="CI106" s="66" t="str">
        <f>IF(Laboratory!M$2=$A106,Laboratory!M$46," ")</f>
        <v xml:space="preserve"> </v>
      </c>
      <c r="CJ106" s="66" t="str">
        <f>IF(Laboratory!N$1=$A106,Laboratory!N$46," ")</f>
        <v xml:space="preserve"> </v>
      </c>
      <c r="CK106" s="66" t="str">
        <f>IF(Laboratory!N$2=$A106,Laboratory!N$46," ")</f>
        <v xml:space="preserve"> </v>
      </c>
      <c r="CL106" s="66" t="str">
        <f>IF(Laboratory!O$1=$A106,Laboratory!O$46," ")</f>
        <v xml:space="preserve"> </v>
      </c>
      <c r="CM106" s="66" t="str">
        <f>IF(Laboratory!O$2=$A106,Laboratory!O$46," ")</f>
        <v xml:space="preserve"> </v>
      </c>
      <c r="CN106" s="66" t="str">
        <f>IF(Laboratory!P$1=$A106,Laboratory!P$46," ")</f>
        <v xml:space="preserve"> </v>
      </c>
      <c r="CO106" s="66" t="str">
        <f>IF(Laboratory!P$2=$A106,Laboratory!P$46," ")</f>
        <v xml:space="preserve"> </v>
      </c>
      <c r="CQ106" s="52" t="str">
        <f>IF(Quizzes!C$1=$A106,Quizzes!C$46," ")</f>
        <v xml:space="preserve"> </v>
      </c>
      <c r="CR106" s="52" t="str">
        <f>IF(Quizzes!C$2=$A106,Quizzes!C$46," ")</f>
        <v xml:space="preserve"> </v>
      </c>
      <c r="CS106" s="52" t="str">
        <f>IF(Quizzes!D$1=$A106,Quizzes!D$46," ")</f>
        <v xml:space="preserve"> </v>
      </c>
      <c r="CT106" s="52" t="str">
        <f>IF(Quizzes!D$2=$A106,Quizzes!D$46," ")</f>
        <v xml:space="preserve"> </v>
      </c>
      <c r="CU106" s="52" t="str">
        <f>IF(Quizzes!E$1=$A106,Quizzes!E$46," ")</f>
        <v xml:space="preserve"> </v>
      </c>
      <c r="CV106" s="52" t="str">
        <f>IF(Quizzes!E$2=$A106,Quizzes!E$46," ")</f>
        <v xml:space="preserve"> </v>
      </c>
      <c r="CW106" s="52" t="str">
        <f>IF(Quizzes!F$1=$A106,Quizzes!F$46," ")</f>
        <v xml:space="preserve"> </v>
      </c>
      <c r="CX106" s="52" t="str">
        <f>IF(Quizzes!F$2=$A106,Quizzes!F$46," ")</f>
        <v xml:space="preserve"> </v>
      </c>
      <c r="CY106" s="52" t="str">
        <f>IF(Quizzes!G$1=$A106,Quizzes!G$46," ")</f>
        <v xml:space="preserve"> </v>
      </c>
      <c r="CZ106" s="52" t="str">
        <f>IF(Quizzes!G$2=$A106,Quizzes!G$46," ")</f>
        <v xml:space="preserve"> </v>
      </c>
      <c r="DA106" s="52" t="str">
        <f>IF(Quizzes!H$1=$A106,Quizzes!H$46," ")</f>
        <v xml:space="preserve"> </v>
      </c>
      <c r="DB106" s="52" t="str">
        <f>IF(Quizzes!H$2=$A106,Quizzes!H$46," ")</f>
        <v xml:space="preserve"> </v>
      </c>
      <c r="DC106" s="52" t="str">
        <f>IF(Quizzes!I$1=$A106,Quizzes!I$46," ")</f>
        <v xml:space="preserve"> </v>
      </c>
      <c r="DD106" s="52" t="str">
        <f>IF(Quizzes!I$2=$A106,Quizzes!I$46," ")</f>
        <v xml:space="preserve"> </v>
      </c>
      <c r="DE106" s="52" t="str">
        <f>IF(Quizzes!J$1=$A106,Quizzes!J$46," ")</f>
        <v xml:space="preserve"> </v>
      </c>
      <c r="DF106" s="52" t="str">
        <f>IF(Quizzes!J$2=$A106,Quizzes!J$46," ")</f>
        <v xml:space="preserve"> </v>
      </c>
      <c r="DG106" s="52" t="str">
        <f>IF(Quizzes!K$1=$A106,Quizzes!K$46," ")</f>
        <v xml:space="preserve"> </v>
      </c>
      <c r="DH106" s="52" t="str">
        <f>IF(Quizzes!K$2=$A106,Quizzes!K$46," ")</f>
        <v xml:space="preserve"> </v>
      </c>
      <c r="DI106" s="52" t="str">
        <f>IF(Quizzes!L$1=$A106,Quizzes!L$46," ")</f>
        <v xml:space="preserve"> </v>
      </c>
      <c r="DJ106" s="52" t="str">
        <f>IF(Quizzes!L$2=$A106,Quizzes!L$46," ")</f>
        <v xml:space="preserve"> </v>
      </c>
      <c r="DK106" s="52" t="str">
        <f>IF(Quizzes!M$1=$A106,Quizzes!M$46," ")</f>
        <v xml:space="preserve"> </v>
      </c>
      <c r="DL106" s="52" t="str">
        <f>IF(Quizzes!M$2=$A106,Quizzes!M$46," ")</f>
        <v xml:space="preserve"> </v>
      </c>
      <c r="DM106" s="52" t="str">
        <f>IF(Quizzes!N$1=$A106,Quizzes!N$46," ")</f>
        <v xml:space="preserve"> </v>
      </c>
      <c r="DN106" s="52" t="str">
        <f>IF(Quizzes!N$2=$A106,Quizzes!N$46," ")</f>
        <v xml:space="preserve"> </v>
      </c>
      <c r="DO106" s="52" t="str">
        <f>IF(Quizzes!O$1=$A106,Quizzes!O$46," ")</f>
        <v xml:space="preserve"> </v>
      </c>
      <c r="DP106" s="52" t="str">
        <f>IF(Quizzes!O$2=$A106,Quizzes!O$46," ")</f>
        <v xml:space="preserve"> </v>
      </c>
      <c r="DQ106" s="52" t="str">
        <f>IF(Quizzes!P$1=$A106,Quizzes!P$46," ")</f>
        <v xml:space="preserve"> </v>
      </c>
      <c r="DR106" s="52" t="str">
        <f>IF(Quizzes!P$2=$A106,Quizzes!P$46," ")</f>
        <v xml:space="preserve"> </v>
      </c>
      <c r="DS106" s="52" t="str">
        <f>IF(Quizzes!Q$1=$A106,Quizzes!Q$46," ")</f>
        <v xml:space="preserve"> </v>
      </c>
      <c r="DT106" s="52" t="str">
        <f>IF(Quizzes!Q$1=$A106,Quizzes!Q$46," ")</f>
        <v xml:space="preserve"> </v>
      </c>
      <c r="DV106" s="25" t="str">
        <f>IF('Midterm 1'!C$1=$A106,'Midterm 1'!C$47," ")</f>
        <v xml:space="preserve"> </v>
      </c>
      <c r="DW106" s="25" t="str">
        <f>IF('Midterm 1'!C$2=$A106,'Midterm 1'!C$47," ")</f>
        <v xml:space="preserve"> </v>
      </c>
      <c r="DX106" s="25" t="str">
        <f>IF('Midterm 1'!D$1=$A106,'Midterm 1'!D$47," ")</f>
        <v xml:space="preserve"> </v>
      </c>
      <c r="DY106" s="25" t="str">
        <f>IF('Midterm 1'!D$2=$A106,'Midterm 1'!D$47," ")</f>
        <v xml:space="preserve"> </v>
      </c>
      <c r="DZ106" s="25" t="str">
        <f>IF('Midterm 1'!E$1=$A106,'Midterm 1'!E$47," ")</f>
        <v xml:space="preserve"> </v>
      </c>
      <c r="EA106" s="25" t="str">
        <f>IF('Midterm 1'!E$2=$A106,'Midterm 1'!E$47," ")</f>
        <v xml:space="preserve"> </v>
      </c>
      <c r="EB106" s="25" t="str">
        <f>IF('Midterm 1'!F$1=$A106,'Midterm 1'!F$47," ")</f>
        <v xml:space="preserve"> </v>
      </c>
      <c r="EC106" s="25" t="str">
        <f>IF('Midterm 1'!F$2=$A106,'Midterm 1'!F$47," ")</f>
        <v xml:space="preserve"> </v>
      </c>
      <c r="ED106" s="25" t="str">
        <f>IF('Midterm 1'!G$1=$A106,'Midterm 1'!G$47," ")</f>
        <v xml:space="preserve"> </v>
      </c>
      <c r="EE106" s="25" t="str">
        <f>IF('Midterm 1'!G$2=$A106,'Midterm 1'!G$47," ")</f>
        <v xml:space="preserve"> </v>
      </c>
      <c r="EF106" s="25" t="str">
        <f>IF('Midterm 1'!H$1=$A106,'Midterm 1'!I$47," ")</f>
        <v xml:space="preserve"> </v>
      </c>
      <c r="EG106" s="25" t="str">
        <f>IF('Midterm 1'!H$2=$A106,'Midterm 1'!H$47," ")</f>
        <v xml:space="preserve"> </v>
      </c>
      <c r="EH106" s="25" t="str">
        <f>IF('Midterm 1'!I$1=$A106,'Midterm 1'!I$47," ")</f>
        <v xml:space="preserve"> </v>
      </c>
      <c r="EI106" s="25" t="str">
        <f>IF('Midterm 1'!I$2=$A106,'Midterm 1'!I$47," ")</f>
        <v xml:space="preserve"> </v>
      </c>
      <c r="EJ106" s="25" t="str">
        <f>IF('Midterm 1'!J$1=$A106,'Midterm 1'!J$47," ")</f>
        <v xml:space="preserve"> </v>
      </c>
      <c r="EK106" s="25" t="str">
        <f>IF('Midterm 1'!J$2=$A106,'Midterm 1'!J$47," ")</f>
        <v xml:space="preserve"> </v>
      </c>
      <c r="EL106" s="25" t="str">
        <f>IF('Midterm 1'!K$1=$A106,'Midterm 1'!K$47," ")</f>
        <v xml:space="preserve"> </v>
      </c>
      <c r="EM106" s="25" t="str">
        <f>IF('Midterm 1'!K$2=$A106,'Midterm 1'!K$47," ")</f>
        <v xml:space="preserve"> </v>
      </c>
      <c r="EN106" s="25" t="str">
        <f>IF('Midterm 1'!L$1=$A106,'Midterm 1'!L$47," ")</f>
        <v xml:space="preserve"> </v>
      </c>
      <c r="EO106" s="25" t="str">
        <f>IF('Midterm 1'!L$2=$A106,'Midterm 1'!L$47," ")</f>
        <v xml:space="preserve"> </v>
      </c>
      <c r="EP106" s="25" t="str">
        <f>IF('Midterm 1'!M$1=$A106,'Midterm 1'!M$47," ")</f>
        <v xml:space="preserve"> </v>
      </c>
      <c r="EQ106" s="25" t="str">
        <f>IF('Midterm 1'!M$2=$A106,'Midterm 1'!M$47," ")</f>
        <v xml:space="preserve"> </v>
      </c>
      <c r="ER106" s="25" t="str">
        <f>IF('Midterm 1'!N$1=$A106,'Midterm 1'!N$47," ")</f>
        <v xml:space="preserve"> </v>
      </c>
      <c r="ES106" s="25" t="str">
        <f>IF('Midterm 1'!N$2=$A106,'Midterm 1'!N$47," ")</f>
        <v xml:space="preserve"> </v>
      </c>
      <c r="ET106" s="25" t="str">
        <f>IF('Midterm 1'!O$1=$A106,'Midterm 1'!O$47," ")</f>
        <v xml:space="preserve"> </v>
      </c>
      <c r="EU106" s="25" t="str">
        <f>IF('Midterm 1'!O$2=$A106,'Midterm 1'!O$47," ")</f>
        <v xml:space="preserve"> </v>
      </c>
      <c r="EV106" s="25" t="str">
        <f>IF('Midterm 1'!P$1=$A106,'Midterm 1'!P$47," ")</f>
        <v xml:space="preserve"> </v>
      </c>
      <c r="EW106" s="25" t="str">
        <f>IF('Midterm 1'!P$2=$A106,'Midterm 1'!P$47," ")</f>
        <v xml:space="preserve"> </v>
      </c>
      <c r="EX106" s="25" t="str">
        <f>IF('Midterm 1'!Q$1=$A106,'Midterm 1'!Q$47," ")</f>
        <v xml:space="preserve"> </v>
      </c>
      <c r="EY106" s="25" t="str">
        <f>IF('Midterm 1'!Q$2=$A106,'Midterm 1'!Q$47," ")</f>
        <v xml:space="preserve"> </v>
      </c>
      <c r="EZ106" s="25" t="str">
        <f>IF('Midterm 1'!R$1=$A106,'Midterm 1'!R$47," ")</f>
        <v xml:space="preserve"> </v>
      </c>
      <c r="FA106" s="25" t="str">
        <f>IF('Midterm 1'!R$2=$A106,'Midterm 1'!R$47," ")</f>
        <v xml:space="preserve"> </v>
      </c>
      <c r="FB106" s="25" t="str">
        <f>IF('Midterm 1'!S$1=$A106,'Midterm 1'!S$47," ")</f>
        <v xml:space="preserve"> </v>
      </c>
      <c r="FC106" s="25" t="str">
        <f>IF('Midterm 1'!S$2=$A106,'Midterm 1'!S$47," ")</f>
        <v xml:space="preserve"> </v>
      </c>
      <c r="FD106" s="25" t="str">
        <f>IF('Midterm 1'!T$1=$A106,'Midterm 1'!T$47," ")</f>
        <v xml:space="preserve"> </v>
      </c>
      <c r="FE106" s="25" t="str">
        <f>IF('Midterm 1'!T$2=$A106,'Midterm 1'!T$47," ")</f>
        <v xml:space="preserve"> </v>
      </c>
      <c r="FF106" s="25" t="str">
        <f>IF('Midterm 1'!U$1=$A106,'Midterm 1'!U$47," ")</f>
        <v xml:space="preserve"> </v>
      </c>
      <c r="FG106" s="25" t="str">
        <f>IF('Midterm 1'!U$2=$A106,'Midterm 1'!U$47," ")</f>
        <v xml:space="preserve"> </v>
      </c>
      <c r="FH106" s="25" t="str">
        <f>IF('Midterm 1'!V$1=$A106,'Midterm 1'!V$47," ")</f>
        <v xml:space="preserve"> </v>
      </c>
      <c r="FI106" s="25" t="str">
        <f>IF('Midterm 1'!V$2=$A106,'Midterm 1'!V$47," ")</f>
        <v xml:space="preserve"> </v>
      </c>
      <c r="FJ106" s="25" t="str">
        <f>IF('Midterm 1'!W$1=$A106,'Midterm 1'!W$47," ")</f>
        <v xml:space="preserve"> </v>
      </c>
      <c r="FK106" s="25" t="str">
        <f>IF('Midterm 1'!W$2=$A106,'Midterm 1'!W$47," ")</f>
        <v xml:space="preserve"> </v>
      </c>
      <c r="FL106" s="25" t="str">
        <f>IF('Midterm 1'!X$1=$A106,'Midterm 1'!X$47," ")</f>
        <v xml:space="preserve"> </v>
      </c>
      <c r="FM106" s="25" t="str">
        <f>IF('Midterm 1'!X$2=$A106,'Midterm 1'!X$47," ")</f>
        <v xml:space="preserve"> </v>
      </c>
      <c r="FN106" s="25" t="str">
        <f>IF('Midterm 1'!Y$1=$A106,'Midterm 1'!Y$47," ")</f>
        <v xml:space="preserve"> </v>
      </c>
      <c r="FO106" s="25" t="str">
        <f>IF('Midterm 1'!Y$2=$A106,'Midterm 1'!Y$47," ")</f>
        <v xml:space="preserve"> </v>
      </c>
      <c r="FP106" s="25" t="str">
        <f>IF('Midterm 1'!Z$1=$A106,'Midterm 1'!Z$47," ")</f>
        <v xml:space="preserve"> </v>
      </c>
      <c r="FQ106" s="25" t="str">
        <f>IF('Midterm 1'!Z$2=$A106,'Midterm 1'!Z$47," ")</f>
        <v xml:space="preserve"> </v>
      </c>
      <c r="FR106" s="25" t="str">
        <f>IF('Midterm 1'!AA$1=$A106,'Midterm 1'!AA$47," ")</f>
        <v xml:space="preserve"> </v>
      </c>
      <c r="FS106" s="25" t="str">
        <f>IF('Midterm 1'!AA$2=$A106,'Midterm 1'!AA$47," ")</f>
        <v xml:space="preserve"> </v>
      </c>
      <c r="FT106" s="25" t="str">
        <f>IF('Midterm 1'!AB$1=$A106,'Midterm 1'!AB$47," ")</f>
        <v xml:space="preserve"> </v>
      </c>
      <c r="FU106" s="25" t="str">
        <f>IF('Midterm 1'!AB$2=$A106,'Midterm 1'!AB$47," ")</f>
        <v xml:space="preserve"> </v>
      </c>
      <c r="FV106" s="25" t="str">
        <f>IF('Midterm 1'!AC$1=$A106,'Midterm 1'!AC$47," ")</f>
        <v xml:space="preserve"> </v>
      </c>
      <c r="FW106" s="25" t="str">
        <f>IF('Midterm 1'!AC$2=$A106,'Midterm 1'!AC$47," ")</f>
        <v xml:space="preserve"> </v>
      </c>
      <c r="FX106" s="25" t="str">
        <f>IF('Midterm 1'!AD$1=$A106,'Midterm 1'!AD$47," ")</f>
        <v xml:space="preserve"> </v>
      </c>
      <c r="FY106" s="25" t="str">
        <f>IF('Midterm 1'!AD$2=$A106,'Midterm 1'!AD$47," ")</f>
        <v xml:space="preserve"> </v>
      </c>
      <c r="FZ106" s="25" t="str">
        <f>IF('Midterm 1'!AE$1=$A106,'Midterm 1'!AE$47," ")</f>
        <v xml:space="preserve"> </v>
      </c>
      <c r="GA106" s="25" t="str">
        <f>IF('Midterm 1'!AE$2=$A106,'Midterm 1'!AE$47," ")</f>
        <v xml:space="preserve"> </v>
      </c>
      <c r="GB106" s="25" t="str">
        <f>IF('Midterm 1'!AF$1=$A106,'Midterm 1'!AF$47," ")</f>
        <v xml:space="preserve"> </v>
      </c>
      <c r="GC106" s="25" t="str">
        <f>IF('Midterm 1'!AF$2=$A106,'Midterm 1'!AF$47," ")</f>
        <v xml:space="preserve"> </v>
      </c>
      <c r="GE106" s="25" t="str">
        <f>IF('Midterm 2'!C$1=$A106,'Midterm 2'!C$47," ")</f>
        <v xml:space="preserve"> </v>
      </c>
      <c r="GF106" s="25" t="str">
        <f>IF('Midterm 2'!C$2=$A106,'Midterm 2'!C$47," ")</f>
        <v xml:space="preserve"> </v>
      </c>
      <c r="GG106" s="25" t="str">
        <f>IF('Midterm 2'!D$1=$A106,'Midterm 2'!D$47," ")</f>
        <v xml:space="preserve"> </v>
      </c>
      <c r="GH106" s="25" t="str">
        <f>IF('Midterm 2'!D$2=$A106,'Midterm 2'!D$47," ")</f>
        <v xml:space="preserve"> </v>
      </c>
      <c r="GI106" s="25" t="str">
        <f>IF('Midterm 2'!E$1=$A106,'Midterm 2'!E$47," ")</f>
        <v xml:space="preserve"> </v>
      </c>
      <c r="GJ106" s="25" t="str">
        <f>IF('Midterm 2'!E$2=$A106,'Midterm 2'!E$47," ")</f>
        <v xml:space="preserve"> </v>
      </c>
      <c r="GK106" s="25" t="str">
        <f>IF('Midterm 2'!F$1=$A106,'Midterm 2'!F$47," ")</f>
        <v xml:space="preserve"> </v>
      </c>
      <c r="GL106" s="25" t="str">
        <f>IF('Midterm 2'!F$2=$A106,'Midterm 2'!F$47," ")</f>
        <v xml:space="preserve"> </v>
      </c>
      <c r="GM106" s="25" t="str">
        <f>IF('Midterm 2'!G$1=$A106,'Midterm 2'!G$47," ")</f>
        <v xml:space="preserve"> </v>
      </c>
      <c r="GN106" s="25" t="str">
        <f>IF('Midterm 2'!G$2=$A106,'Midterm 2'!G$47," ")</f>
        <v xml:space="preserve"> </v>
      </c>
      <c r="GO106" s="25" t="str">
        <f>IF('Midterm 2'!H$1=$A106,'Midterm 2'!H$47," ")</f>
        <v xml:space="preserve"> </v>
      </c>
      <c r="GP106" s="25" t="str">
        <f>IF('Midterm 2'!H$2=$A106,'Midterm 2'!H$47," ")</f>
        <v xml:space="preserve"> </v>
      </c>
      <c r="GQ106" s="25" t="str">
        <f>IF('Midterm 2'!I$1=$A106,'Midterm 2'!I$47," ")</f>
        <v xml:space="preserve"> </v>
      </c>
      <c r="GR106" s="25" t="str">
        <f>IF('Midterm 2'!I$2=$A106,'Midterm 2'!I$47," ")</f>
        <v xml:space="preserve"> </v>
      </c>
      <c r="GS106" s="25" t="str">
        <f>IF('Midterm 2'!J$1=$A106,'Midterm 2'!J$47," ")</f>
        <v xml:space="preserve"> </v>
      </c>
      <c r="GT106" s="25" t="str">
        <f>IF('Midterm 2'!J$2=$A106,'Midterm 2'!J$47," ")</f>
        <v xml:space="preserve"> </v>
      </c>
      <c r="GU106" s="25" t="str">
        <f>IF('Midterm 2'!K$1=$A106,'Midterm 2'!K$47," ")</f>
        <v xml:space="preserve"> </v>
      </c>
      <c r="GV106" s="25" t="str">
        <f>IF('Midterm 2'!K$2=$A106,'Midterm 2'!K$47," ")</f>
        <v xml:space="preserve"> </v>
      </c>
      <c r="GW106" s="25" t="str">
        <f>IF('Midterm 2'!L$1=$A106,'Midterm 2'!L$47," ")</f>
        <v xml:space="preserve"> </v>
      </c>
      <c r="GX106" s="25" t="str">
        <f>IF('Midterm 2'!L$2=$A106,'Midterm 2'!L$47," ")</f>
        <v xml:space="preserve"> </v>
      </c>
      <c r="GY106" s="25" t="str">
        <f>IF('Midterm 2'!M$1=$A106,'Midterm 2'!M$47," ")</f>
        <v xml:space="preserve"> </v>
      </c>
      <c r="GZ106" s="25" t="str">
        <f>IF('Midterm 2'!M$2=$A106,'Midterm 2'!M$47," ")</f>
        <v xml:space="preserve"> </v>
      </c>
      <c r="HA106" s="25" t="str">
        <f>IF('Midterm 2'!N$1=$A106,'Midterm 2'!N$47," ")</f>
        <v xml:space="preserve"> </v>
      </c>
      <c r="HB106" s="25" t="str">
        <f>IF('Midterm 2'!N$2=$A106,'Midterm 2'!N$47," ")</f>
        <v xml:space="preserve"> </v>
      </c>
      <c r="HC106" s="25" t="str">
        <f>IF('Midterm 2'!O$1=$A106,'Midterm 2'!O$47," ")</f>
        <v xml:space="preserve"> </v>
      </c>
      <c r="HD106" s="25" t="str">
        <f>IF('Midterm 2'!O$2=$A106,'Midterm 2'!O$47," ")</f>
        <v xml:space="preserve"> </v>
      </c>
      <c r="HE106" s="25" t="str">
        <f>IF('Midterm 2'!P$1=$A106,'Midterm 2'!P$47," ")</f>
        <v xml:space="preserve"> </v>
      </c>
      <c r="HF106" s="25" t="str">
        <f>IF('Midterm 2'!P$2=$A106,'Midterm 2'!P$47," ")</f>
        <v xml:space="preserve"> </v>
      </c>
      <c r="HG106" s="25" t="str">
        <f>IF('Midterm 2'!Q$1=$A106,'Midterm 2'!Q$47," ")</f>
        <v xml:space="preserve"> </v>
      </c>
      <c r="HH106" s="25" t="str">
        <f>IF('Midterm 2'!Q$2=$A106,'Midterm 2'!Q$47," ")</f>
        <v xml:space="preserve"> </v>
      </c>
      <c r="HI106" s="25" t="str">
        <f>IF('Midterm 2'!R$1=$A106,'Midterm 2'!R$47," ")</f>
        <v xml:space="preserve"> </v>
      </c>
      <c r="HJ106" s="25" t="str">
        <f>IF('Midterm 2'!R$2=$A106,'Midterm 2'!R$47," ")</f>
        <v xml:space="preserve"> </v>
      </c>
      <c r="HK106" s="25" t="str">
        <f>IF('Midterm 2'!S$1=$A106,'Midterm 2'!S$47," ")</f>
        <v xml:space="preserve"> </v>
      </c>
      <c r="HL106" s="25" t="str">
        <f>IF('Midterm 2'!S$2=$A106,'Midterm 2'!S$47," ")</f>
        <v xml:space="preserve"> </v>
      </c>
      <c r="HM106" s="25" t="str">
        <f>IF('Midterm 2'!T$1=$A106,'Midterm 2'!T$47," ")</f>
        <v xml:space="preserve"> </v>
      </c>
      <c r="HN106" s="25" t="str">
        <f>IF('Midterm 2'!T$2=$A106,'Midterm 2'!T$47," ")</f>
        <v xml:space="preserve"> </v>
      </c>
      <c r="HO106" s="25" t="str">
        <f>IF('Midterm 2'!U$1=$A106,'Midterm 2'!U$47," ")</f>
        <v xml:space="preserve"> </v>
      </c>
      <c r="HP106" s="25" t="str">
        <f>IF('Midterm 2'!U$2=$A106,'Midterm 2'!U$47," ")</f>
        <v xml:space="preserve"> </v>
      </c>
      <c r="HQ106" s="25" t="str">
        <f>IF('Midterm 2'!V$1=$A106,'Midterm 2'!V$47," ")</f>
        <v xml:space="preserve"> </v>
      </c>
      <c r="HR106" s="25" t="str">
        <f>IF('Midterm 2'!V$2=$A106,'Midterm 2'!V$47," ")</f>
        <v xml:space="preserve"> </v>
      </c>
      <c r="HS106" s="25" t="str">
        <f>IF('Midterm 2'!W$1=$A106,'Midterm 2'!W$47," ")</f>
        <v xml:space="preserve"> </v>
      </c>
      <c r="HT106" s="25" t="str">
        <f>IF('Midterm 2'!W$2=$A106,'Midterm 2'!W$47," ")</f>
        <v xml:space="preserve"> </v>
      </c>
      <c r="HU106" s="25" t="str">
        <f>IF('Midterm 2'!X$1=$A106,'Midterm 2'!X$47," ")</f>
        <v xml:space="preserve"> </v>
      </c>
      <c r="HV106" s="25" t="str">
        <f>IF('Midterm 2'!X$2=$A106,'Midterm 2'!X$47," ")</f>
        <v xml:space="preserve"> </v>
      </c>
      <c r="HW106" s="25" t="str">
        <f>IF('Midterm 2'!Y$1=$A106,'Midterm 2'!Y$47," ")</f>
        <v xml:space="preserve"> </v>
      </c>
      <c r="HX106" s="25" t="str">
        <f>IF('Midterm 2'!Y$2=$A106,'Midterm 2'!Y$47," ")</f>
        <v xml:space="preserve"> </v>
      </c>
      <c r="HY106" s="25" t="str">
        <f>IF('Midterm 2'!Z$1=$A106,'Midterm 2'!Z$47," ")</f>
        <v xml:space="preserve"> </v>
      </c>
      <c r="HZ106" s="25" t="str">
        <f>IF('Midterm 2'!Z$2=$A106,'Midterm 2'!Z$47," ")</f>
        <v xml:space="preserve"> </v>
      </c>
      <c r="IA106" s="25" t="str">
        <f>IF('Midterm 2'!AA$1=$A106,'Midterm 2'!AA$47," ")</f>
        <v xml:space="preserve"> </v>
      </c>
      <c r="IB106" s="25" t="str">
        <f>IF('Midterm 2'!AA$2=$A106,'Midterm 2'!AA$47," ")</f>
        <v xml:space="preserve"> </v>
      </c>
      <c r="IC106" s="25" t="str">
        <f>IF('Midterm 2'!AB$1=$A106,'Midterm 2'!AB$47," ")</f>
        <v xml:space="preserve"> </v>
      </c>
      <c r="ID106" s="25" t="str">
        <f>IF('Midterm 2'!AB$2=$A106,'Midterm 2'!AB$47," ")</f>
        <v xml:space="preserve"> </v>
      </c>
      <c r="IE106" s="25" t="str">
        <f>IF('Midterm 2'!AC$1=$A106,'Midterm 2'!AC$47," ")</f>
        <v xml:space="preserve"> </v>
      </c>
      <c r="IF106" s="25" t="str">
        <f>IF('Midterm 2'!AC$2=$A106,'Midterm 2'!AC$47," ")</f>
        <v xml:space="preserve"> </v>
      </c>
      <c r="IG106" s="25" t="str">
        <f>IF('Midterm 2'!AD$1=$A106,'Midterm 2'!AD$47," ")</f>
        <v xml:space="preserve"> </v>
      </c>
      <c r="IH106" s="25" t="str">
        <f>IF('Midterm 2'!AD$2=$A106,'Midterm 2'!AD$47," ")</f>
        <v xml:space="preserve"> </v>
      </c>
      <c r="II106" s="25" t="str">
        <f>IF('Midterm 2'!AE$1=$A106,'Midterm 2'!AE$47," ")</f>
        <v xml:space="preserve"> </v>
      </c>
      <c r="IJ106" s="25" t="str">
        <f>IF('Midterm 2'!AE$2=$A106,'Midterm 2'!AE$47," ")</f>
        <v xml:space="preserve"> </v>
      </c>
      <c r="IK106" s="25" t="str">
        <f>IF('Midterm 2'!AF$1=$A106,'Midterm 2'!AF$47," ")</f>
        <v xml:space="preserve"> </v>
      </c>
      <c r="IL106" s="25" t="str">
        <f>IF('Midterm 2'!AF$2=$A106,'Midterm 2'!AF$47," ")</f>
        <v xml:space="preserve"> </v>
      </c>
      <c r="IM106" s="25" t="str">
        <f>IF('Midterm 2'!AG$1=$A106,'Midterm 2'!AG$47," ")</f>
        <v xml:space="preserve"> </v>
      </c>
      <c r="IN106" s="25" t="str">
        <f>IF('Midterm 2'!AG$2=$A106,'Midterm 2'!AG$47," ")</f>
        <v xml:space="preserve"> </v>
      </c>
      <c r="IO106" s="25" t="str">
        <f>IF('Midterm 2'!AH$1=$A106,'Midterm 2'!AH$47," ")</f>
        <v xml:space="preserve"> </v>
      </c>
      <c r="IP106" s="25" t="str">
        <f>IF('Midterm 2'!AH$2=$A106,'Midterm 2'!AF$47," ")</f>
        <v xml:space="preserve"> </v>
      </c>
      <c r="IR106" s="54" t="str">
        <f>IF('Final Exam'!C$1=$A106,'Final Exam'!C$46," ")</f>
        <v xml:space="preserve"> </v>
      </c>
      <c r="IS106" s="54" t="str">
        <f>IF('Final Exam'!C$2=$A106,'Final Exam'!C$46," ")</f>
        <v xml:space="preserve"> </v>
      </c>
      <c r="IT106" s="54" t="str">
        <f>IF('Final Exam'!D$1=$A106,'Final Exam'!D$46," ")</f>
        <v xml:space="preserve"> </v>
      </c>
      <c r="IU106" s="54" t="str">
        <f>IF('Final Exam'!D$2=$A106,'Final Exam'!D$46," ")</f>
        <v xml:space="preserve"> </v>
      </c>
      <c r="IV106" s="54" t="str">
        <f>IF('Final Exam'!E$1=$A106,'Final Exam'!E$46," ")</f>
        <v xml:space="preserve"> </v>
      </c>
      <c r="IW106" s="54" t="str">
        <f>IF('Final Exam'!E$2=$A106,'Final Exam'!E$46," ")</f>
        <v xml:space="preserve"> </v>
      </c>
      <c r="IX106" s="54" t="str">
        <f>IF('Final Exam'!F$1=$A106,'Final Exam'!F$46," ")</f>
        <v xml:space="preserve"> </v>
      </c>
      <c r="IY106" s="54" t="str">
        <f>IF('Final Exam'!F$2=$A106,'Final Exam'!F$46," ")</f>
        <v xml:space="preserve"> </v>
      </c>
      <c r="IZ106" s="54" t="str">
        <f>IF('Final Exam'!G$1=$A106,'Final Exam'!G$46," ")</f>
        <v xml:space="preserve"> </v>
      </c>
      <c r="JA106" s="54" t="str">
        <f>IF('Final Exam'!G$2=$A106,'Final Exam'!G$46," ")</f>
        <v xml:space="preserve"> </v>
      </c>
      <c r="JB106" s="54" t="str">
        <f>IF('Final Exam'!H$1=$A106,'Final Exam'!G$46," ")</f>
        <v xml:space="preserve"> </v>
      </c>
      <c r="JC106" s="54" t="str">
        <f>IF('Final Exam'!H$2=$A106,'Final Exam'!H$46," ")</f>
        <v xml:space="preserve"> </v>
      </c>
      <c r="JD106" s="54" t="str">
        <f>IF('Final Exam'!I$1=$A106,'Final Exam'!I$46," ")</f>
        <v xml:space="preserve"> </v>
      </c>
      <c r="JE106" s="54" t="str">
        <f>IF('Final Exam'!I$2=$A106,'Final Exam'!I$46," ")</f>
        <v xml:space="preserve"> </v>
      </c>
      <c r="JF106" s="54" t="str">
        <f>IF('Final Exam'!J$1=$A106,'Final Exam'!J$46," ")</f>
        <v xml:space="preserve"> </v>
      </c>
      <c r="JG106" s="54" t="str">
        <f>IF('Final Exam'!J$2=$A106,'Final Exam'!J$46," ")</f>
        <v xml:space="preserve"> </v>
      </c>
      <c r="JH106" s="54" t="str">
        <f>IF('Final Exam'!K$1=$A106,'Final Exam'!K$46," ")</f>
        <v xml:space="preserve"> </v>
      </c>
      <c r="JI106" s="54" t="str">
        <f>IF('Final Exam'!K$2=$A106,'Final Exam'!K$46," ")</f>
        <v xml:space="preserve"> </v>
      </c>
      <c r="JJ106" s="54" t="str">
        <f>IF('Final Exam'!L$1=$A106,'Final Exam'!L$46," ")</f>
        <v xml:space="preserve"> </v>
      </c>
      <c r="JK106" s="54" t="str">
        <f>IF('Final Exam'!L$2=$A106,'Final Exam'!L$46," ")</f>
        <v xml:space="preserve"> </v>
      </c>
      <c r="JL106" s="54" t="str">
        <f>IF('Final Exam'!M$1=$A106,'Final Exam'!M$46," ")</f>
        <v xml:space="preserve"> </v>
      </c>
      <c r="JM106" s="54" t="str">
        <f>IF('Final Exam'!M$2=$A106,'Final Exam'!M$46," ")</f>
        <v xml:space="preserve"> </v>
      </c>
      <c r="JN106" s="54" t="str">
        <f>IF('Final Exam'!N$1=$A106,'Final Exam'!N$46," ")</f>
        <v xml:space="preserve"> </v>
      </c>
      <c r="JO106" s="54" t="str">
        <f>IF('Final Exam'!N$2=$A106,'Final Exam'!N$46," ")</f>
        <v xml:space="preserve"> </v>
      </c>
      <c r="JP106" s="54" t="str">
        <f>IF('Final Exam'!O$1=$A106,'Final Exam'!O$46," ")</f>
        <v xml:space="preserve"> </v>
      </c>
      <c r="JQ106" s="54" t="str">
        <f>IF('Final Exam'!O$2=$A106,'Final Exam'!O$46," ")</f>
        <v xml:space="preserve"> </v>
      </c>
      <c r="JR106" s="54" t="str">
        <f>IF('Final Exam'!P$1=$A106,'Final Exam'!P$46," ")</f>
        <v xml:space="preserve"> </v>
      </c>
      <c r="JS106" s="54" t="str">
        <f>IF('Final Exam'!P$2=$A106,'Final Exam'!P$46," ")</f>
        <v xml:space="preserve"> </v>
      </c>
      <c r="JT106" s="54" t="str">
        <f>IF('Final Exam'!Q$1=$A106,'Final Exam'!Q$46," ")</f>
        <v xml:space="preserve"> </v>
      </c>
      <c r="JU106" s="54" t="str">
        <f>IF('Final Exam'!Q$2=$A106,'Final Exam'!Q$46," ")</f>
        <v xml:space="preserve"> </v>
      </c>
      <c r="JV106" s="54" t="str">
        <f>IF('Final Exam'!R$1=$A106,'Final Exam'!R$46," ")</f>
        <v xml:space="preserve"> </v>
      </c>
      <c r="JW106" s="54" t="str">
        <f>IF('Final Exam'!R$2=$A106,'Final Exam'!R$46," ")</f>
        <v xml:space="preserve"> </v>
      </c>
      <c r="JX106" s="54" t="str">
        <f>IF('Final Exam'!S$1=$A106,'Final Exam'!S$46," ")</f>
        <v xml:space="preserve"> </v>
      </c>
      <c r="JY106" s="54" t="str">
        <f>IF('Final Exam'!S$2=$A106,'Final Exam'!S$46," ")</f>
        <v xml:space="preserve"> </v>
      </c>
      <c r="JZ106" s="54" t="str">
        <f>IF('Final Exam'!T$1=$A106,'Final Exam'!T$46," ")</f>
        <v xml:space="preserve"> </v>
      </c>
      <c r="KA106" s="54" t="str">
        <f>IF('Final Exam'!T$2=$A106,'Final Exam'!T$46," ")</f>
        <v xml:space="preserve"> </v>
      </c>
      <c r="KB106" s="54" t="str">
        <f>IF('Final Exam'!U$1=$A106,'Final Exam'!U$46," ")</f>
        <v xml:space="preserve"> </v>
      </c>
      <c r="KC106" s="54" t="str">
        <f>IF('Final Exam'!U$2=$A106,'Final Exam'!U$46," ")</f>
        <v xml:space="preserve"> </v>
      </c>
      <c r="KD106" s="54" t="str">
        <f>IF('Final Exam'!V$1=$A106,'Final Exam'!V$46," ")</f>
        <v xml:space="preserve"> </v>
      </c>
      <c r="KE106" s="54" t="str">
        <f>IF('Final Exam'!V$2=$A106,'Final Exam'!V$46," ")</f>
        <v xml:space="preserve"> </v>
      </c>
      <c r="KF106" s="54" t="str">
        <f>IF('Final Exam'!W$1=$A106,'Final Exam'!W$46," ")</f>
        <v xml:space="preserve"> </v>
      </c>
      <c r="KG106" s="54" t="str">
        <f>IF('Final Exam'!W$2=$A106,'Final Exam'!W$46," ")</f>
        <v xml:space="preserve"> </v>
      </c>
      <c r="KH106" s="54" t="str">
        <f>IF('Final Exam'!X$1=$A106,'Final Exam'!X$46," ")</f>
        <v xml:space="preserve"> </v>
      </c>
      <c r="KI106" s="54" t="str">
        <f>IF('Final Exam'!X$2=$A106,'Final Exam'!X$46," ")</f>
        <v xml:space="preserve"> </v>
      </c>
      <c r="KJ106" s="54" t="str">
        <f>IF('Final Exam'!Y$1=$A106,'Final Exam'!Y$46," ")</f>
        <v xml:space="preserve"> </v>
      </c>
      <c r="KK106" s="54" t="str">
        <f>IF('Final Exam'!Y$2=$A106,'Final Exam'!Y$46," ")</f>
        <v xml:space="preserve"> </v>
      </c>
      <c r="KL106" s="54" t="str">
        <f>IF('Final Exam'!Z$1=$A106,'Final Exam'!Z$46," ")</f>
        <v xml:space="preserve"> </v>
      </c>
      <c r="KM106" s="54" t="str">
        <f>IF('Final Exam'!Z$2=$A106,'Final Exam'!Z$46," ")</f>
        <v xml:space="preserve"> </v>
      </c>
      <c r="KN106" s="54" t="str">
        <f>IF('Final Exam'!AA$1=$A106,'Final Exam'!AA$46," ")</f>
        <v xml:space="preserve"> </v>
      </c>
      <c r="KO106" s="54" t="str">
        <f>IF('Final Exam'!AA$2=$A106,'Final Exam'!AA$46," ")</f>
        <v xml:space="preserve"> </v>
      </c>
      <c r="KP106" s="54" t="str">
        <f>IF('Final Exam'!AB$1=$A106,'Final Exam'!AB$46," ")</f>
        <v xml:space="preserve"> </v>
      </c>
      <c r="KQ106" s="54" t="str">
        <f>IF('Final Exam'!AB$2=$A106,'Final Exam'!AB$46," ")</f>
        <v xml:space="preserve"> </v>
      </c>
      <c r="KR106" s="54" t="str">
        <f>IF('Final Exam'!AC$1=$A106,'Final Exam'!AC$46," ")</f>
        <v xml:space="preserve"> </v>
      </c>
      <c r="KS106" s="54" t="str">
        <f>IF('Final Exam'!AC$2=$A106,'Final Exam'!AC$46," ")</f>
        <v xml:space="preserve"> </v>
      </c>
      <c r="KT106" s="54" t="str">
        <f>IF('Final Exam'!AD$1=$A106,'Final Exam'!AD$46," ")</f>
        <v xml:space="preserve"> </v>
      </c>
      <c r="KU106" s="54" t="str">
        <f>IF('Final Exam'!AD$2=$A106,'Final Exam'!AD$46," ")</f>
        <v xml:space="preserve"> </v>
      </c>
      <c r="KV106" s="54" t="str">
        <f>IF('Final Exam'!AE$1=$A106,'Final Exam'!AE$46," ")</f>
        <v xml:space="preserve"> </v>
      </c>
      <c r="KW106" s="54" t="str">
        <f>IF('Final Exam'!AE$2=$A106,'Final Exam'!AE$46," ")</f>
        <v xml:space="preserve"> </v>
      </c>
      <c r="KX106" s="54" t="str">
        <f>IF('Final Exam'!AF$1=$A106,'Final Exam'!AF$46," ")</f>
        <v xml:space="preserve"> </v>
      </c>
      <c r="KY106" s="54" t="str">
        <f>IF('Final Exam'!AF$2=$A106,'Final Exam'!AF$46," ")</f>
        <v xml:space="preserve"> </v>
      </c>
      <c r="KZ106" s="54" t="str">
        <f>IF('Final Exam'!AG$1=$A106,'Final Exam'!AG$46," ")</f>
        <v xml:space="preserve"> </v>
      </c>
      <c r="LA106" s="54" t="str">
        <f>IF('Final Exam'!AG$2=$A106,'Final Exam'!AG$46," ")</f>
        <v xml:space="preserve"> </v>
      </c>
      <c r="LC106" s="180" t="str">
        <f>IF('Incomplete Final'!C$1=$A106,'Incomplete Final'!C$46," ")</f>
        <v xml:space="preserve"> </v>
      </c>
      <c r="LD106" s="180" t="str">
        <f>IF('Incomplete Final'!C$2=$A106,'Incomplete Final'!C$46," ")</f>
        <v xml:space="preserve"> </v>
      </c>
      <c r="LE106" s="180" t="str">
        <f>IF('Incomplete Final'!D$1=$A106,'Incomplete Final'!D$46," ")</f>
        <v xml:space="preserve"> </v>
      </c>
      <c r="LF106" s="180" t="str">
        <f>IF('Incomplete Final'!D$2=$A106,'Incomplete Final'!D$46," ")</f>
        <v xml:space="preserve"> </v>
      </c>
      <c r="LG106" s="180" t="str">
        <f>IF('Incomplete Final'!E$1=$A106,'Incomplete Final'!E$46," ")</f>
        <v xml:space="preserve"> </v>
      </c>
      <c r="LH106" s="180" t="str">
        <f>IF('Incomplete Final'!E$2=$A106,'Incomplete Final'!E$46," ")</f>
        <v xml:space="preserve"> </v>
      </c>
      <c r="LI106" s="180" t="str">
        <f>IF('Incomplete Final'!F$1=$A106,'Incomplete Final'!F$46," ")</f>
        <v xml:space="preserve"> </v>
      </c>
      <c r="LJ106" s="180" t="str">
        <f>IF('Incomplete Final'!F$2=$A106,'Incomplete Final'!F$46," ")</f>
        <v xml:space="preserve"> </v>
      </c>
      <c r="LK106" s="180" t="str">
        <f>IF('Incomplete Final'!G$1=$A106,'Incomplete Final'!G$46," ")</f>
        <v xml:space="preserve"> </v>
      </c>
      <c r="LL106" s="180" t="str">
        <f>IF('Incomplete Final'!G$2=$A106,'Incomplete Final'!G$46," ")</f>
        <v xml:space="preserve"> </v>
      </c>
      <c r="LM106" s="180" t="str">
        <f>IF('Incomplete Final'!H$1=$A106,'Incomplete Final'!H$46," ")</f>
        <v xml:space="preserve"> </v>
      </c>
      <c r="LN106" s="180" t="str">
        <f>IF('Incomplete Final'!H$2=$A106,'Incomplete Final'!H$46," ")</f>
        <v xml:space="preserve"> </v>
      </c>
      <c r="LO106" s="180" t="str">
        <f>IF('Incomplete Final'!I$1=$A106,'Incomplete Final'!I$46," ")</f>
        <v xml:space="preserve"> </v>
      </c>
      <c r="LP106" s="180" t="str">
        <f>IF('Incomplete Final'!I$2=$A106,'Incomplete Final'!I$46," ")</f>
        <v xml:space="preserve"> </v>
      </c>
      <c r="LQ106" s="180" t="str">
        <f>IF('Incomplete Final'!J$1=$A106,'Incomplete Final'!J$46," ")</f>
        <v xml:space="preserve"> </v>
      </c>
      <c r="LR106" s="180" t="str">
        <f>IF('Incomplete Final'!J$2=$A106,'Incomplete Final'!J$46," ")</f>
        <v xml:space="preserve"> </v>
      </c>
      <c r="LS106" s="180" t="str">
        <f>IF('Incomplete Final'!K$1=$A106,'Incomplete Final'!K$46," ")</f>
        <v xml:space="preserve"> </v>
      </c>
      <c r="LT106" s="180" t="str">
        <f>IF('Incomplete Final'!K$2=$A106,'Incomplete Final'!K$46," ")</f>
        <v xml:space="preserve"> </v>
      </c>
      <c r="LU106" s="180" t="str">
        <f>IF('Incomplete Final'!L$1=$A106,'Incomplete Final'!L$46," ")</f>
        <v xml:space="preserve"> </v>
      </c>
      <c r="LV106" s="180" t="str">
        <f>IF('Incomplete Final'!L$2=$A106,'Incomplete Final'!L$46," ")</f>
        <v xml:space="preserve"> </v>
      </c>
      <c r="LW106" s="180" t="str">
        <f>IF('Incomplete Final'!M$1=$A106,'Incomplete Final'!M$46," ")</f>
        <v xml:space="preserve"> </v>
      </c>
      <c r="LX106" s="180" t="str">
        <f>IF('Incomplete Final'!M$2=$A106,'Incomplete Final'!M$46," ")</f>
        <v xml:space="preserve"> </v>
      </c>
      <c r="LY106" s="180" t="str">
        <f>IF('Incomplete Final'!N$1=$A106,'Incomplete Final'!N$46," ")</f>
        <v xml:space="preserve"> </v>
      </c>
      <c r="LZ106" s="180" t="str">
        <f>IF('Incomplete Final'!N$2=$A106,'Incomplete Final'!N$46," ")</f>
        <v xml:space="preserve"> </v>
      </c>
      <c r="MA106" s="180" t="str">
        <f>IF('Incomplete Final'!O$1=$A106,'Incomplete Final'!O$46," ")</f>
        <v xml:space="preserve"> </v>
      </c>
      <c r="MB106" s="180" t="str">
        <f>IF('Incomplete Final'!O$2=$A106,'Incomplete Final'!AB$46," ")</f>
        <v xml:space="preserve"> </v>
      </c>
      <c r="MC106" s="180" t="str">
        <f>IF('Incomplete Final'!P$1=$A106,'Incomplete Final'!P$46," ")</f>
        <v xml:space="preserve"> </v>
      </c>
      <c r="MD106" s="180" t="str">
        <f>IF('Incomplete Final'!P$2=$A106,'Incomplete Final'!P$46," ")</f>
        <v xml:space="preserve"> </v>
      </c>
      <c r="ME106" s="180" t="str">
        <f>IF('Incomplete Final'!Q$1=$A106,'Incomplete Final'!Q$46," ")</f>
        <v xml:space="preserve"> </v>
      </c>
      <c r="MF106" s="180" t="str">
        <f>IF('Incomplete Final'!Q$2=$A106,'Incomplete Final'!Q$46," ")</f>
        <v xml:space="preserve"> </v>
      </c>
      <c r="MG106" s="180" t="str">
        <f>IF('Incomplete Final'!R$1=$A106,'Incomplete Final'!R$46," ")</f>
        <v xml:space="preserve"> </v>
      </c>
      <c r="MH106" s="180" t="str">
        <f>IF('Incomplete Final'!R$2=$A106,'Incomplete Final'!R$46," ")</f>
        <v xml:space="preserve"> </v>
      </c>
      <c r="MI106" s="180" t="str">
        <f>IF('Incomplete Final'!S$1=$A106,'Incomplete Final'!S$46," ")</f>
        <v xml:space="preserve"> </v>
      </c>
      <c r="MJ106" s="180" t="str">
        <f>IF('Incomplete Final'!S$2=$A106,'Incomplete Final'!S$46," ")</f>
        <v xml:space="preserve"> </v>
      </c>
      <c r="MK106" s="180" t="str">
        <f>IF('Incomplete Final'!T$1=$A106,'Incomplete Final'!T$46," ")</f>
        <v xml:space="preserve"> </v>
      </c>
      <c r="ML106" s="180" t="str">
        <f>IF('Incomplete Final'!T$2=$A106,'Incomplete Final'!T$46," ")</f>
        <v xml:space="preserve"> </v>
      </c>
      <c r="MM106" s="180" t="str">
        <f>IF('Incomplete Final'!U$1=$A106,'Incomplete Final'!U$46," ")</f>
        <v xml:space="preserve"> </v>
      </c>
      <c r="MN106" s="180" t="str">
        <f>IF('Incomplete Final'!U$2=$A106,'Incomplete Final'!U$46," ")</f>
        <v xml:space="preserve"> </v>
      </c>
      <c r="MO106" s="180" t="str">
        <f>IF('Incomplete Final'!V$1=$A106,'Incomplete Final'!V$46," ")</f>
        <v xml:space="preserve"> </v>
      </c>
      <c r="MP106" s="180" t="str">
        <f>IF('Incomplete Final'!V$2=$A106,'Incomplete Final'!V$46," ")</f>
        <v xml:space="preserve"> </v>
      </c>
      <c r="MQ106" s="180" t="str">
        <f>IF('Incomplete Final'!W$1=$A106,'Incomplete Final'!W$46," ")</f>
        <v xml:space="preserve"> </v>
      </c>
      <c r="MR106" s="180" t="str">
        <f>IF('Incomplete Final'!W$2=$A106,'Incomplete Final'!W$46," ")</f>
        <v xml:space="preserve"> </v>
      </c>
      <c r="MS106" s="180" t="str">
        <f>IF('Incomplete Final'!X$1=$A106,'Incomplete Final'!X$46," ")</f>
        <v xml:space="preserve"> </v>
      </c>
      <c r="MT106" s="180" t="str">
        <f>IF('Incomplete Final'!X$2=$A106,'Incomplete Final'!X$46," ")</f>
        <v xml:space="preserve"> </v>
      </c>
      <c r="MU106" s="180" t="str">
        <f>IF('Incomplete Final'!Y$1=$A106,'Incomplete Final'!Y$46," ")</f>
        <v xml:space="preserve"> </v>
      </c>
      <c r="MV106" s="180" t="str">
        <f>IF('Incomplete Final'!Y$2=$A106,'Incomplete Final'!Y$46," ")</f>
        <v xml:space="preserve"> </v>
      </c>
      <c r="MW106" s="180" t="str">
        <f>IF('Incomplete Final'!Z$1=$A106,'Incomplete Final'!Z$46," ")</f>
        <v xml:space="preserve"> </v>
      </c>
      <c r="MX106" s="180" t="str">
        <f>IF('Incomplete Final'!Z$2=$A106,'Incomplete Final'!Z$46," ")</f>
        <v xml:space="preserve"> </v>
      </c>
      <c r="MY106" s="180" t="str">
        <f>IF('Incomplete Final'!AA$1=$A106,'Incomplete Final'!AA$46," ")</f>
        <v xml:space="preserve"> </v>
      </c>
      <c r="MZ106" s="180" t="str">
        <f>IF('Incomplete Final'!AA$2=$A106,'Incomplete Final'!AA$46," ")</f>
        <v xml:space="preserve"> </v>
      </c>
      <c r="NA106" s="180" t="str">
        <f>IF('Incomplete Final'!AB$1=$A106,'Incomplete Final'!AB$46," ")</f>
        <v xml:space="preserve"> </v>
      </c>
      <c r="NB106" s="180" t="str">
        <f>IF('Incomplete Final'!AB$2=$A106,'Incomplete Final'!AB$46," ")</f>
        <v xml:space="preserve"> </v>
      </c>
      <c r="NC106" s="180" t="str">
        <f>IF('Incomplete Final'!AC$1=$A106,'Incomplete Final'!AC$46," ")</f>
        <v xml:space="preserve"> </v>
      </c>
      <c r="ND106" s="180" t="str">
        <f>IF('Incomplete Final'!AC$2=$A106,'Incomplete Final'!AC$46," ")</f>
        <v xml:space="preserve"> </v>
      </c>
      <c r="NE106" s="180" t="str">
        <f>IF('Incomplete Final'!AD$1=$A106,'Incomplete Final'!AD$46," ")</f>
        <v xml:space="preserve"> </v>
      </c>
      <c r="NF106" s="180" t="str">
        <f>IF('Incomplete Final'!AD$2=$A106,'Incomplete Final'!AD$46," ")</f>
        <v xml:space="preserve"> </v>
      </c>
      <c r="NG106" s="180" t="str">
        <f>IF('Incomplete Final'!AE$1=$A106,'Incomplete Final'!AE$46," ")</f>
        <v xml:space="preserve"> </v>
      </c>
      <c r="NH106" s="180" t="str">
        <f>IF('Incomplete Final'!AE$2=$A106,'Incomplete Final'!AE$46," ")</f>
        <v xml:space="preserve"> </v>
      </c>
      <c r="NI106" s="180" t="str">
        <f>IF('Incomplete Final'!AF$1=$A106,'Incomplete Final'!AF$46," ")</f>
        <v xml:space="preserve"> </v>
      </c>
      <c r="NJ106" s="180" t="str">
        <f>IF('Incomplete Final'!AF$2=$A106,'Incomplete Final'!AF$46," ")</f>
        <v xml:space="preserve"> </v>
      </c>
      <c r="NK106" s="180" t="str">
        <f>IF('Incomplete Final'!AG$1=$A106,'Incomplete Final'!AG$46," ")</f>
        <v xml:space="preserve"> </v>
      </c>
      <c r="NL106" s="180" t="str">
        <f>IF('Incomplete Final'!AG$2=$A106,'Incomplete Final'!AG$46," ")</f>
        <v xml:space="preserve"> </v>
      </c>
      <c r="NN106" s="53" t="str">
        <f>IF('Laboratory Final'!C$1=$A106,'Laboratory Final'!C$46," ")</f>
        <v xml:space="preserve"> </v>
      </c>
      <c r="NO106" s="53" t="str">
        <f>IF('Laboratory Final'!C$2=$A106,'Laboratory Final'!C$46," ")</f>
        <v xml:space="preserve"> </v>
      </c>
      <c r="NP106" s="53" t="str">
        <f>IF('Laboratory Final'!D$1=$A106,'Laboratory Final'!D$46," ")</f>
        <v xml:space="preserve"> </v>
      </c>
      <c r="NQ106" s="53" t="str">
        <f>IF('Laboratory Final'!D$2=$A106,'Laboratory Final'!D$46," ")</f>
        <v xml:space="preserve"> </v>
      </c>
      <c r="NR106" s="53" t="str">
        <f>IF('Laboratory Final'!E$1=$A106,'Laboratory Final'!E$46," ")</f>
        <v xml:space="preserve"> </v>
      </c>
      <c r="NS106" s="53" t="str">
        <f>IF('Laboratory Final'!E$2=$A106,'Laboratory Final'!E$46," ")</f>
        <v xml:space="preserve"> </v>
      </c>
      <c r="NT106" s="53" t="str">
        <f>IF('Laboratory Final'!F$1=$A106,'Laboratory Final'!F$46," ")</f>
        <v xml:space="preserve"> </v>
      </c>
      <c r="NU106" s="53" t="str">
        <f>IF('Laboratory Final'!F$2=$A106,'Laboratory Final'!F$46," ")</f>
        <v xml:space="preserve"> </v>
      </c>
      <c r="NV106" s="53" t="str">
        <f>IF('Laboratory Final'!G$1=$A106,'Laboratory Final'!G$46," ")</f>
        <v xml:space="preserve"> </v>
      </c>
      <c r="NW106" s="53" t="str">
        <f>IF('Laboratory Final'!G$2=$A106,'Laboratory Final'!G$46," ")</f>
        <v xml:space="preserve"> </v>
      </c>
      <c r="NX106" s="53" t="str">
        <f>IF('Laboratory Final'!H$1=$A106,'Laboratory Final'!H$46," ")</f>
        <v xml:space="preserve"> </v>
      </c>
      <c r="NY106" s="53" t="str">
        <f>IF('Laboratory Final'!H$2=$A106,'Laboratory Final'!H$46," ")</f>
        <v xml:space="preserve"> </v>
      </c>
      <c r="NZ106" s="53" t="str">
        <f>IF('Laboratory Final'!I$1=$A106,'Laboratory Final'!I$46," ")</f>
        <v xml:space="preserve"> </v>
      </c>
      <c r="OA106" s="53" t="str">
        <f>IF('Laboratory Final'!I$2=$A106,'Laboratory Final'!I$46," ")</f>
        <v xml:space="preserve"> </v>
      </c>
      <c r="OB106" s="53" t="str">
        <f>IF('Laboratory Final'!J$1=$A106,'Laboratory Final'!J$46," ")</f>
        <v xml:space="preserve"> </v>
      </c>
      <c r="OC106" s="53" t="str">
        <f>IF('Laboratory Final'!J$2=$A106,'Laboratory Final'!J$46," ")</f>
        <v xml:space="preserve"> </v>
      </c>
      <c r="OD106" s="53" t="str">
        <f>IF('Laboratory Final'!K$1=$A106,'Laboratory Final'!K$46," ")</f>
        <v xml:space="preserve"> </v>
      </c>
      <c r="OE106" s="53" t="str">
        <f>IF('Laboratory Final'!K$2=$A106,'Laboratory Final'!K$46," ")</f>
        <v xml:space="preserve"> </v>
      </c>
      <c r="OF106" s="53" t="str">
        <f>IF('Laboratory Final'!L$1=$A106,'Laboratory Final'!L$46," ")</f>
        <v xml:space="preserve"> </v>
      </c>
      <c r="OG106" s="53" t="str">
        <f>IF('Laboratory Final'!L$2=$A106,'Laboratory Final'!L$46," ")</f>
        <v xml:space="preserve"> </v>
      </c>
      <c r="OI106" s="192" t="e">
        <f>AVERAGE(D106:OG106)</f>
        <v>#DIV/0!</v>
      </c>
    </row>
    <row r="107" spans="1:399" ht="18.75" x14ac:dyDescent="0.3">
      <c r="A107" s="48">
        <v>2</v>
      </c>
      <c r="B107" s="55">
        <f>IF(SUM(D107:LA107)=0,0,AVERAGE('Course Analysis'!D107:LA107))</f>
        <v>0</v>
      </c>
      <c r="D107" s="53" t="str">
        <f>IF(Project!C$1=$A107,Project!C$46," ")</f>
        <v xml:space="preserve"> </v>
      </c>
      <c r="E107" s="53" t="str">
        <f>IF(Project!C$2=$A107,Project!C$46," ")</f>
        <v xml:space="preserve"> </v>
      </c>
      <c r="F107" s="53" t="str">
        <f>IF(Project!D$1=$A107,Project!D$46," ")</f>
        <v xml:space="preserve"> </v>
      </c>
      <c r="G107" s="53" t="str">
        <f>IF(Project!D$2=$A107,Project!D$46," ")</f>
        <v xml:space="preserve"> </v>
      </c>
      <c r="H107" s="53" t="str">
        <f>IF(Project!E$1=$A107,Project!E$46," ")</f>
        <v xml:space="preserve"> </v>
      </c>
      <c r="I107" s="53" t="str">
        <f>IF(Project!E$2=$A107,Project!E$46," ")</f>
        <v xml:space="preserve"> </v>
      </c>
      <c r="J107" s="53" t="str">
        <f>IF(Project!F$1=$A107,Project!F$46," ")</f>
        <v xml:space="preserve"> </v>
      </c>
      <c r="K107" s="53" t="str">
        <f>IF(Project!F$2=$A107,Project!F$46," ")</f>
        <v xml:space="preserve"> </v>
      </c>
      <c r="L107" s="53" t="str">
        <f>IF(Project!G$1=$A107,Project!G$46," ")</f>
        <v xml:space="preserve"> </v>
      </c>
      <c r="M107" s="53" t="str">
        <f>IF(Project!G$2=$A107,Project!G$46," ")</f>
        <v xml:space="preserve"> </v>
      </c>
      <c r="N107" s="53" t="str">
        <f>IF(Project!H$1=$A107,Project!H$46," ")</f>
        <v xml:space="preserve"> </v>
      </c>
      <c r="O107" s="53" t="str">
        <f>IF(Project!H$2=$A107,Project!H$46," ")</f>
        <v xml:space="preserve"> </v>
      </c>
      <c r="P107" s="53" t="str">
        <f>IF(Project!I$1=$A107,Project!I$46," ")</f>
        <v xml:space="preserve"> </v>
      </c>
      <c r="Q107" s="53" t="str">
        <f>IF(Project!I$2=$A107,Project!I$46," ")</f>
        <v xml:space="preserve"> </v>
      </c>
      <c r="R107" s="53" t="str">
        <f>IF(Project!J$1=$A107,Project!J$46," ")</f>
        <v xml:space="preserve"> </v>
      </c>
      <c r="S107" s="53" t="str">
        <f>IF(Project!J$2=$A107,Project!J$46," ")</f>
        <v xml:space="preserve"> </v>
      </c>
      <c r="T107" s="53" t="str">
        <f>IF(Project!K$1=$A107,Project!K$46," ")</f>
        <v xml:space="preserve"> </v>
      </c>
      <c r="U107" s="53" t="str">
        <f>IF(Project!K$2=$A107,Project!K$46," ")</f>
        <v xml:space="preserve"> </v>
      </c>
      <c r="V107" s="53" t="str">
        <f>IF(Project!L$1=$A107,Project!L$46," ")</f>
        <v xml:space="preserve"> </v>
      </c>
      <c r="W107" s="53" t="str">
        <f>IF(Project!L$2=$A107,Project!L$46," ")</f>
        <v xml:space="preserve"> </v>
      </c>
      <c r="Y107" s="53" t="str">
        <f>IF(Homework!C$1=$A107,Homework!C$46," ")</f>
        <v xml:space="preserve"> </v>
      </c>
      <c r="Z107" s="53" t="str">
        <f>IF(Homework!C$2=$A107,Homework!C$46," ")</f>
        <v xml:space="preserve"> </v>
      </c>
      <c r="AA107" s="53" t="str">
        <f>IF(Homework!D$1=$A107,Homework!D$46," ")</f>
        <v xml:space="preserve"> </v>
      </c>
      <c r="AB107" s="53" t="str">
        <f>IF(Homework!D$2=$A107,Homework!D$46," ")</f>
        <v xml:space="preserve"> </v>
      </c>
      <c r="AC107" s="53" t="str">
        <f>IF(Homework!E$1=$A107,Homework!E$46," ")</f>
        <v xml:space="preserve"> </v>
      </c>
      <c r="AD107" s="53" t="str">
        <f>IF(Homework!E$2=$A107,Homework!E$46," ")</f>
        <v xml:space="preserve"> </v>
      </c>
      <c r="AE107" s="53" t="str">
        <f>IF(Homework!F$1=$A107,Homework!F$46," ")</f>
        <v xml:space="preserve"> </v>
      </c>
      <c r="AF107" s="53" t="str">
        <f>IF(Homework!F$2=$A107,Homework!F$46," ")</f>
        <v xml:space="preserve"> </v>
      </c>
      <c r="AG107" s="53" t="str">
        <f>IF(Homework!G$1=$A107,Homework!G$46," ")</f>
        <v xml:space="preserve"> </v>
      </c>
      <c r="AH107" s="53" t="str">
        <f>IF(Homework!G$2=$A107,Homework!G$46," ")</f>
        <v xml:space="preserve"> </v>
      </c>
      <c r="AI107" s="53" t="str">
        <f>IF(Homework!H$1=$A107,Homework!H$46," ")</f>
        <v xml:space="preserve"> </v>
      </c>
      <c r="AJ107" s="53" t="str">
        <f>IF(Homework!H$2=$A107,Homework!H$46," ")</f>
        <v xml:space="preserve"> </v>
      </c>
      <c r="AK107" s="53" t="str">
        <f>IF(Homework!I$1=$A107,Homework!I$46," ")</f>
        <v xml:space="preserve"> </v>
      </c>
      <c r="AL107" s="53" t="str">
        <f>IF(Homework!I$2=$A107,Homework!I$46," ")</f>
        <v xml:space="preserve"> </v>
      </c>
      <c r="AM107" s="53" t="str">
        <f>IF(Homework!J$1=$A107,Homework!J$46," ")</f>
        <v xml:space="preserve"> </v>
      </c>
      <c r="AN107" s="53" t="str">
        <f>IF(Homework!J$2=$A107,Homework!J$46," ")</f>
        <v xml:space="preserve"> </v>
      </c>
      <c r="AO107" s="53" t="str">
        <f>IF(Homework!K$1=$A107,Homework!K$46," ")</f>
        <v xml:space="preserve"> </v>
      </c>
      <c r="AP107" s="53" t="str">
        <f>IF(Homework!K$2=$A107,Homework!K$46," ")</f>
        <v xml:space="preserve"> </v>
      </c>
      <c r="AQ107" s="53" t="str">
        <f>IF(Homework!L$1=$A107,Homework!L$46," ")</f>
        <v xml:space="preserve"> </v>
      </c>
      <c r="AR107" s="53" t="str">
        <f>IF(Homework!L$2=$A107,Homework!L$46," ")</f>
        <v xml:space="preserve"> </v>
      </c>
      <c r="AS107" s="53" t="str">
        <f>IF(Homework!M$1=$A107,Homework!M$46," ")</f>
        <v xml:space="preserve"> </v>
      </c>
      <c r="AT107" s="53" t="str">
        <f>IF(Homework!M$2=$A107,Homework!M$46," ")</f>
        <v xml:space="preserve"> </v>
      </c>
      <c r="AU107" s="53" t="str">
        <f>IF(Homework!N$1=$A107,Homework!N$46," ")</f>
        <v xml:space="preserve"> </v>
      </c>
      <c r="AV107" s="53" t="str">
        <f>IF(Homework!N$2=$A107,Homework!N$46," ")</f>
        <v xml:space="preserve"> </v>
      </c>
      <c r="AW107" s="53" t="str">
        <f>IF(Homework!O$1=$A107,Homework!O$46," ")</f>
        <v xml:space="preserve"> </v>
      </c>
      <c r="AX107" s="53" t="str">
        <f>IF(Homework!O$2=$A107,Homework!O$46," ")</f>
        <v xml:space="preserve"> </v>
      </c>
      <c r="AY107" s="53" t="str">
        <f>IF(Homework!P$1=$A107,Homework!P$46," ")</f>
        <v xml:space="preserve"> </v>
      </c>
      <c r="AZ107" s="53" t="str">
        <f>IF(Homework!P$2=$A107,Homework!P$46," ")</f>
        <v xml:space="preserve"> </v>
      </c>
      <c r="BA107" s="53" t="str">
        <f>IF(Homework!Q$1=$A107,Homework!Q$46," ")</f>
        <v xml:space="preserve"> </v>
      </c>
      <c r="BB107" s="53" t="str">
        <f>IF(Homework!Q$2=$A107,Homework!Q$46," ")</f>
        <v xml:space="preserve"> </v>
      </c>
      <c r="BC107" s="53" t="str">
        <f>IF(Homework!R$1=$A107,Homework!R$46," ")</f>
        <v xml:space="preserve"> </v>
      </c>
      <c r="BD107" s="53" t="str">
        <f>IF(Homework!R$2=$A107,Homework!R$46," ")</f>
        <v xml:space="preserve"> </v>
      </c>
      <c r="BE107" s="53" t="str">
        <f>IF(Homework!S$1=$A107,Homework!S$46," ")</f>
        <v xml:space="preserve"> </v>
      </c>
      <c r="BF107" s="53" t="str">
        <f>IF(Homework!S$2=$A107,Homework!S$46," ")</f>
        <v xml:space="preserve"> </v>
      </c>
      <c r="BG107" s="53" t="str">
        <f>IF(Homework!T$1=$A107,Homework!T$46," ")</f>
        <v xml:space="preserve"> </v>
      </c>
      <c r="BH107" s="53" t="str">
        <f>IF(Homework!T$2=$A107,Homework!T$46," ")</f>
        <v xml:space="preserve"> </v>
      </c>
      <c r="BI107" s="53" t="str">
        <f>IF(Homework!U$1=$A107,Homework!U$46," ")</f>
        <v xml:space="preserve"> </v>
      </c>
      <c r="BJ107" s="53" t="str">
        <f>IF(Homework!U$2=$A107,Homework!U$46," ")</f>
        <v xml:space="preserve"> </v>
      </c>
      <c r="BK107" s="53" t="str">
        <f>IF(Homework!V$1=$A107,Homework!V$46," ")</f>
        <v xml:space="preserve"> </v>
      </c>
      <c r="BL107" s="53" t="str">
        <f>IF(Homework!V$2=$A107,Homework!V$46," ")</f>
        <v xml:space="preserve"> </v>
      </c>
      <c r="BN107" s="66" t="str">
        <f>IF(Laboratory!C$1=$A107,Laboratory!C$46," ")</f>
        <v xml:space="preserve"> </v>
      </c>
      <c r="BO107" s="66" t="str">
        <f>IF(Laboratory!C$2=$A107,Laboratory!C$46," ")</f>
        <v xml:space="preserve"> </v>
      </c>
      <c r="BP107" s="66" t="str">
        <f>IF(Laboratory!D$1=$A107,Laboratory!D$46," ")</f>
        <v xml:space="preserve"> </v>
      </c>
      <c r="BQ107" s="66" t="str">
        <f>IF(Laboratory!D$2=$A107,Laboratory!D$46," ")</f>
        <v xml:space="preserve"> </v>
      </c>
      <c r="BR107" s="66" t="str">
        <f>IF(Laboratory!E$1=$A107,Laboratory!E$46," ")</f>
        <v xml:space="preserve"> </v>
      </c>
      <c r="BS107" s="66" t="str">
        <f>IF(Laboratory!E$2=$A107,Laboratory!E$46," ")</f>
        <v xml:space="preserve"> </v>
      </c>
      <c r="BT107" s="66" t="str">
        <f>IF(Laboratory!F$1=$A107,Laboratory!F$46," ")</f>
        <v xml:space="preserve"> </v>
      </c>
      <c r="BU107" s="66" t="str">
        <f>IF(Laboratory!F$2=$A107,Laboratory!F$46," ")</f>
        <v xml:space="preserve"> </v>
      </c>
      <c r="BV107" s="66" t="str">
        <f>IF(Laboratory!G$1=$A107,Laboratory!G$46," ")</f>
        <v xml:space="preserve"> </v>
      </c>
      <c r="BW107" s="66" t="str">
        <f>IF(Laboratory!G$2=$A107,Laboratory!G$46," ")</f>
        <v xml:space="preserve"> </v>
      </c>
      <c r="BX107" s="66" t="str">
        <f>IF(Laboratory!H$1=$A107,Laboratory!H$46," ")</f>
        <v xml:space="preserve"> </v>
      </c>
      <c r="BY107" s="66" t="str">
        <f>IF(Laboratory!H$2=$A107,Laboratory!H$46," ")</f>
        <v xml:space="preserve"> </v>
      </c>
      <c r="BZ107" s="66"/>
      <c r="CA107" s="66" t="str">
        <f>IF(Laboratory!I$2=$A107,Laboratory!I$46," ")</f>
        <v xml:space="preserve"> </v>
      </c>
      <c r="CB107" s="66"/>
      <c r="CC107" s="66" t="str">
        <f>IF(Laboratory!J$2=$A107,Laboratory!J$46," ")</f>
        <v xml:space="preserve"> </v>
      </c>
      <c r="CD107" s="66" t="str">
        <f>IF(Laboratory!K$1=$A107,Laboratory!K$46," ")</f>
        <v xml:space="preserve"> </v>
      </c>
      <c r="CE107" s="66" t="str">
        <f>IF(Laboratory!K$2=$A107,Laboratory!K$46," ")</f>
        <v xml:space="preserve"> </v>
      </c>
      <c r="CF107" s="66" t="str">
        <f>IF(Laboratory!L$1=$A107,Laboratory!L$46," ")</f>
        <v xml:space="preserve"> </v>
      </c>
      <c r="CG107" s="66" t="str">
        <f>IF(Laboratory!L$2=$A107,Laboratory!L$46," ")</f>
        <v xml:space="preserve"> </v>
      </c>
      <c r="CH107" s="66" t="str">
        <f>IF(Laboratory!M$1=$A107,Laboratory!M$46," ")</f>
        <v xml:space="preserve"> </v>
      </c>
      <c r="CI107" s="66" t="str">
        <f>IF(Laboratory!M$2=$A107,Laboratory!M$46," ")</f>
        <v xml:space="preserve"> </v>
      </c>
      <c r="CJ107" s="66" t="str">
        <f>IF(Laboratory!N$1=$A107,Laboratory!N$46," ")</f>
        <v xml:space="preserve"> </v>
      </c>
      <c r="CK107" s="66" t="str">
        <f>IF(Laboratory!N$2=$A107,Laboratory!N$46," ")</f>
        <v xml:space="preserve"> </v>
      </c>
      <c r="CL107" s="66" t="str">
        <f>IF(Laboratory!O$1=$A107,Laboratory!O$46," ")</f>
        <v xml:space="preserve"> </v>
      </c>
      <c r="CM107" s="66" t="str">
        <f>IF(Laboratory!O$2=$A107,Laboratory!O$46," ")</f>
        <v xml:space="preserve"> </v>
      </c>
      <c r="CN107" s="66" t="str">
        <f>IF(Laboratory!P$1=$A107,Laboratory!P$46," ")</f>
        <v xml:space="preserve"> </v>
      </c>
      <c r="CO107" s="66" t="str">
        <f>IF(Laboratory!P$2=$A107,Laboratory!P$46," ")</f>
        <v xml:space="preserve"> </v>
      </c>
      <c r="CQ107" s="52" t="str">
        <f>IF(Quizzes!C$1=$A107,Quizzes!C$46," ")</f>
        <v xml:space="preserve"> </v>
      </c>
      <c r="CR107" s="52" t="str">
        <f>IF(Quizzes!C$2=$A107,Quizzes!C$46," ")</f>
        <v xml:space="preserve"> </v>
      </c>
      <c r="CS107" s="52" t="str">
        <f>IF(Quizzes!D$1=$A107,Quizzes!D$46," ")</f>
        <v xml:space="preserve"> </v>
      </c>
      <c r="CT107" s="52" t="str">
        <f>IF(Quizzes!D$2=$A107,Quizzes!D$46," ")</f>
        <v xml:space="preserve"> </v>
      </c>
      <c r="CU107" s="52" t="str">
        <f>IF(Quizzes!E$1=$A107,Quizzes!E$46," ")</f>
        <v xml:space="preserve"> </v>
      </c>
      <c r="CV107" s="52" t="str">
        <f>IF(Quizzes!E$2=$A107,Quizzes!E$46," ")</f>
        <v xml:space="preserve"> </v>
      </c>
      <c r="CW107" s="52" t="str">
        <f>IF(Quizzes!F$1=$A107,Quizzes!F$46," ")</f>
        <v xml:space="preserve"> </v>
      </c>
      <c r="CX107" s="52" t="str">
        <f>IF(Quizzes!F$2=$A107,Quizzes!F$46," ")</f>
        <v xml:space="preserve"> </v>
      </c>
      <c r="CY107" s="52" t="str">
        <f>IF(Quizzes!G$1=$A107,Quizzes!G$46," ")</f>
        <v xml:space="preserve"> </v>
      </c>
      <c r="CZ107" s="52" t="str">
        <f>IF(Quizzes!G$2=$A107,Quizzes!G$46," ")</f>
        <v xml:space="preserve"> </v>
      </c>
      <c r="DA107" s="52" t="str">
        <f>IF(Quizzes!H$1=$A107,Quizzes!H$46," ")</f>
        <v xml:space="preserve"> </v>
      </c>
      <c r="DB107" s="52" t="str">
        <f>IF(Quizzes!H$2=$A107,Quizzes!H$46," ")</f>
        <v xml:space="preserve"> </v>
      </c>
      <c r="DC107" s="52" t="str">
        <f>IF(Quizzes!I$1=$A107,Quizzes!I$46," ")</f>
        <v xml:space="preserve"> </v>
      </c>
      <c r="DD107" s="52" t="str">
        <f>IF(Quizzes!I$2=$A107,Quizzes!I$46," ")</f>
        <v xml:space="preserve"> </v>
      </c>
      <c r="DE107" s="52" t="str">
        <f>IF(Quizzes!J$1=$A107,Quizzes!J$46," ")</f>
        <v xml:space="preserve"> </v>
      </c>
      <c r="DF107" s="52" t="str">
        <f>IF(Quizzes!J$2=$A107,Quizzes!J$46," ")</f>
        <v xml:space="preserve"> </v>
      </c>
      <c r="DG107" s="52" t="str">
        <f>IF(Quizzes!K$1=$A107,Quizzes!K$46," ")</f>
        <v xml:space="preserve"> </v>
      </c>
      <c r="DH107" s="52" t="str">
        <f>IF(Quizzes!K$2=$A107,Quizzes!K$46," ")</f>
        <v xml:space="preserve"> </v>
      </c>
      <c r="DI107" s="52" t="str">
        <f>IF(Quizzes!L$1=$A107,Quizzes!L$46," ")</f>
        <v xml:space="preserve"> </v>
      </c>
      <c r="DJ107" s="52" t="str">
        <f>IF(Quizzes!L$2=$A107,Quizzes!L$46," ")</f>
        <v xml:space="preserve"> </v>
      </c>
      <c r="DK107" s="52" t="str">
        <f>IF(Quizzes!M$1=$A107,Quizzes!M$46," ")</f>
        <v xml:space="preserve"> </v>
      </c>
      <c r="DL107" s="52" t="str">
        <f>IF(Quizzes!M$2=$A107,Quizzes!M$46," ")</f>
        <v xml:space="preserve"> </v>
      </c>
      <c r="DM107" s="52" t="str">
        <f>IF(Quizzes!N$1=$A107,Quizzes!N$46," ")</f>
        <v xml:space="preserve"> </v>
      </c>
      <c r="DN107" s="52" t="str">
        <f>IF(Quizzes!N$2=$A107,Quizzes!N$46," ")</f>
        <v xml:space="preserve"> </v>
      </c>
      <c r="DO107" s="52" t="str">
        <f>IF(Quizzes!O$1=$A107,Quizzes!O$46," ")</f>
        <v xml:space="preserve"> </v>
      </c>
      <c r="DP107" s="52" t="str">
        <f>IF(Quizzes!O$2=$A107,Quizzes!O$46," ")</f>
        <v xml:space="preserve"> </v>
      </c>
      <c r="DQ107" s="52" t="str">
        <f>IF(Quizzes!P$1=$A107,Quizzes!P$46," ")</f>
        <v xml:space="preserve"> </v>
      </c>
      <c r="DR107" s="52" t="str">
        <f>IF(Quizzes!P$2=$A107,Quizzes!P$46," ")</f>
        <v xml:space="preserve"> </v>
      </c>
      <c r="DS107" s="52" t="str">
        <f>IF(Quizzes!Q$1=$A107,Quizzes!Q$46," ")</f>
        <v xml:space="preserve"> </v>
      </c>
      <c r="DT107" s="52" t="str">
        <f>IF(Quizzes!Q$1=$A107,Quizzes!Q$46," ")</f>
        <v xml:space="preserve"> </v>
      </c>
      <c r="DV107" s="25" t="str">
        <f>IF('Midterm 1'!C$1=$A107,'Midterm 1'!C$47," ")</f>
        <v xml:space="preserve"> </v>
      </c>
      <c r="DW107" s="25" t="str">
        <f>IF('Midterm 1'!C$2=$A107,'Midterm 1'!C$47," ")</f>
        <v xml:space="preserve"> </v>
      </c>
      <c r="DX107" s="25" t="str">
        <f>IF('Midterm 1'!D$1=$A107,'Midterm 1'!D$47," ")</f>
        <v xml:space="preserve"> </v>
      </c>
      <c r="DY107" s="25" t="str">
        <f>IF('Midterm 1'!D$2=$A107,'Midterm 1'!D$47," ")</f>
        <v xml:space="preserve"> </v>
      </c>
      <c r="DZ107" s="25" t="str">
        <f>IF('Midterm 1'!E$1=$A107,'Midterm 1'!E$47," ")</f>
        <v xml:space="preserve"> </v>
      </c>
      <c r="EA107" s="25" t="str">
        <f>IF('Midterm 1'!E$2=$A107,'Midterm 1'!E$47," ")</f>
        <v xml:space="preserve"> </v>
      </c>
      <c r="EB107" s="25" t="str">
        <f>IF('Midterm 1'!F$1=$A107,'Midterm 1'!F$47," ")</f>
        <v xml:space="preserve"> </v>
      </c>
      <c r="EC107" s="25" t="str">
        <f>IF('Midterm 1'!F$2=$A107,'Midterm 1'!F$47," ")</f>
        <v xml:space="preserve"> </v>
      </c>
      <c r="ED107" s="25" t="str">
        <f>IF('Midterm 1'!G$1=$A107,'Midterm 1'!G$47," ")</f>
        <v xml:space="preserve"> </v>
      </c>
      <c r="EE107" s="25" t="str">
        <f>IF('Midterm 1'!G$2=$A107,'Midterm 1'!G$47," ")</f>
        <v xml:space="preserve"> </v>
      </c>
      <c r="EF107" s="25" t="str">
        <f>IF('Midterm 1'!H$1=$A107,'Midterm 1'!I$47," ")</f>
        <v xml:space="preserve"> </v>
      </c>
      <c r="EG107" s="25" t="str">
        <f>IF('Midterm 1'!H$2=$A107,'Midterm 1'!H$47," ")</f>
        <v xml:space="preserve"> </v>
      </c>
      <c r="EH107" s="25" t="str">
        <f>IF('Midterm 1'!I$1=$A107,'Midterm 1'!I$47," ")</f>
        <v xml:space="preserve"> </v>
      </c>
      <c r="EI107" s="25" t="str">
        <f>IF('Midterm 1'!I$2=$A107,'Midterm 1'!I$47," ")</f>
        <v xml:space="preserve"> </v>
      </c>
      <c r="EJ107" s="25" t="str">
        <f>IF('Midterm 1'!J$1=$A107,'Midterm 1'!J$47," ")</f>
        <v xml:space="preserve"> </v>
      </c>
      <c r="EK107" s="25" t="str">
        <f>IF('Midterm 1'!J$2=$A107,'Midterm 1'!J$47," ")</f>
        <v xml:space="preserve"> </v>
      </c>
      <c r="EL107" s="25" t="str">
        <f>IF('Midterm 1'!K$1=$A107,'Midterm 1'!K$47," ")</f>
        <v xml:space="preserve"> </v>
      </c>
      <c r="EM107" s="25" t="str">
        <f>IF('Midterm 1'!K$2=$A107,'Midterm 1'!K$47," ")</f>
        <v xml:space="preserve"> </v>
      </c>
      <c r="EN107" s="25" t="str">
        <f>IF('Midterm 1'!L$1=$A107,'Midterm 1'!L$47," ")</f>
        <v xml:space="preserve"> </v>
      </c>
      <c r="EO107" s="25" t="str">
        <f>IF('Midterm 1'!L$2=$A107,'Midterm 1'!L$47," ")</f>
        <v xml:space="preserve"> </v>
      </c>
      <c r="EP107" s="25" t="str">
        <f>IF('Midterm 1'!M$1=$A107,'Midterm 1'!M$47," ")</f>
        <v xml:space="preserve"> </v>
      </c>
      <c r="EQ107" s="25" t="str">
        <f>IF('Midterm 1'!M$2=$A107,'Midterm 1'!M$47," ")</f>
        <v xml:space="preserve"> </v>
      </c>
      <c r="ER107" s="25" t="str">
        <f>IF('Midterm 1'!N$1=$A107,'Midterm 1'!N$47," ")</f>
        <v xml:space="preserve"> </v>
      </c>
      <c r="ES107" s="25" t="str">
        <f>IF('Midterm 1'!N$2=$A107,'Midterm 1'!N$47," ")</f>
        <v xml:space="preserve"> </v>
      </c>
      <c r="ET107" s="25" t="str">
        <f>IF('Midterm 1'!O$1=$A107,'Midterm 1'!O$47," ")</f>
        <v xml:space="preserve"> </v>
      </c>
      <c r="EU107" s="25" t="str">
        <f>IF('Midterm 1'!O$2=$A107,'Midterm 1'!O$47," ")</f>
        <v xml:space="preserve"> </v>
      </c>
      <c r="EV107" s="25" t="str">
        <f>IF('Midterm 1'!P$1=$A107,'Midterm 1'!P$47," ")</f>
        <v xml:space="preserve"> </v>
      </c>
      <c r="EW107" s="25" t="str">
        <f>IF('Midterm 1'!P$2=$A107,'Midterm 1'!P$47," ")</f>
        <v xml:space="preserve"> </v>
      </c>
      <c r="EX107" s="25" t="str">
        <f>IF('Midterm 1'!Q$1=$A107,'Midterm 1'!Q$47," ")</f>
        <v xml:space="preserve"> </v>
      </c>
      <c r="EY107" s="25" t="str">
        <f>IF('Midterm 1'!Q$2=$A107,'Midterm 1'!Q$47," ")</f>
        <v xml:space="preserve"> </v>
      </c>
      <c r="EZ107" s="25" t="str">
        <f>IF('Midterm 1'!R$1=$A107,'Midterm 1'!R$47," ")</f>
        <v xml:space="preserve"> </v>
      </c>
      <c r="FA107" s="25" t="str">
        <f>IF('Midterm 1'!R$2=$A107,'Midterm 1'!R$47," ")</f>
        <v xml:space="preserve"> </v>
      </c>
      <c r="FB107" s="25" t="str">
        <f>IF('Midterm 1'!S$1=$A107,'Midterm 1'!S$47," ")</f>
        <v xml:space="preserve"> </v>
      </c>
      <c r="FC107" s="25" t="str">
        <f>IF('Midterm 1'!S$2=$A107,'Midterm 1'!S$47," ")</f>
        <v xml:space="preserve"> </v>
      </c>
      <c r="FD107" s="25" t="str">
        <f>IF('Midterm 1'!T$1=$A107,'Midterm 1'!T$47," ")</f>
        <v xml:space="preserve"> </v>
      </c>
      <c r="FE107" s="25" t="str">
        <f>IF('Midterm 1'!T$2=$A107,'Midterm 1'!T$47," ")</f>
        <v xml:space="preserve"> </v>
      </c>
      <c r="FF107" s="25" t="str">
        <f>IF('Midterm 1'!U$1=$A107,'Midterm 1'!U$47," ")</f>
        <v xml:space="preserve"> </v>
      </c>
      <c r="FG107" s="25" t="str">
        <f>IF('Midterm 1'!U$2=$A107,'Midterm 1'!U$47," ")</f>
        <v xml:space="preserve"> </v>
      </c>
      <c r="FH107" s="25" t="str">
        <f>IF('Midterm 1'!V$1=$A107,'Midterm 1'!V$47," ")</f>
        <v xml:space="preserve"> </v>
      </c>
      <c r="FI107" s="25" t="str">
        <f>IF('Midterm 1'!V$2=$A107,'Midterm 1'!V$47," ")</f>
        <v xml:space="preserve"> </v>
      </c>
      <c r="FJ107" s="25" t="str">
        <f>IF('Midterm 1'!W$1=$A107,'Midterm 1'!W$47," ")</f>
        <v xml:space="preserve"> </v>
      </c>
      <c r="FK107" s="25" t="str">
        <f>IF('Midterm 1'!W$2=$A107,'Midterm 1'!W$47," ")</f>
        <v xml:space="preserve"> </v>
      </c>
      <c r="FL107" s="25" t="str">
        <f>IF('Midterm 1'!X$1=$A107,'Midterm 1'!X$47," ")</f>
        <v xml:space="preserve"> </v>
      </c>
      <c r="FM107" s="25" t="str">
        <f>IF('Midterm 1'!X$2=$A107,'Midterm 1'!X$47," ")</f>
        <v xml:space="preserve"> </v>
      </c>
      <c r="FN107" s="25" t="str">
        <f>IF('Midterm 1'!Y$1=$A107,'Midterm 1'!Y$47," ")</f>
        <v xml:space="preserve"> </v>
      </c>
      <c r="FO107" s="25" t="str">
        <f>IF('Midterm 1'!Y$2=$A107,'Midterm 1'!Y$47," ")</f>
        <v xml:space="preserve"> </v>
      </c>
      <c r="FP107" s="25" t="str">
        <f>IF('Midterm 1'!Z$1=$A107,'Midterm 1'!Z$47," ")</f>
        <v xml:space="preserve"> </v>
      </c>
      <c r="FQ107" s="25" t="str">
        <f>IF('Midterm 1'!Z$2=$A107,'Midterm 1'!Z$47," ")</f>
        <v xml:space="preserve"> </v>
      </c>
      <c r="FR107" s="25" t="str">
        <f>IF('Midterm 1'!AA$1=$A107,'Midterm 1'!AA$47," ")</f>
        <v xml:space="preserve"> </v>
      </c>
      <c r="FS107" s="25" t="str">
        <f>IF('Midterm 1'!AA$2=$A107,'Midterm 1'!AA$47," ")</f>
        <v xml:space="preserve"> </v>
      </c>
      <c r="FT107" s="25" t="str">
        <f>IF('Midterm 1'!AB$1=$A107,'Midterm 1'!AB$47," ")</f>
        <v xml:space="preserve"> </v>
      </c>
      <c r="FU107" s="25" t="str">
        <f>IF('Midterm 1'!AB$2=$A107,'Midterm 1'!AB$47," ")</f>
        <v xml:space="preserve"> </v>
      </c>
      <c r="FV107" s="25" t="str">
        <f>IF('Midterm 1'!AC$1=$A107,'Midterm 1'!AC$47," ")</f>
        <v xml:space="preserve"> </v>
      </c>
      <c r="FW107" s="25" t="str">
        <f>IF('Midterm 1'!AC$2=$A107,'Midterm 1'!AC$47," ")</f>
        <v xml:space="preserve"> </v>
      </c>
      <c r="FX107" s="25" t="str">
        <f>IF('Midterm 1'!AD$1=$A107,'Midterm 1'!AD$47," ")</f>
        <v xml:space="preserve"> </v>
      </c>
      <c r="FY107" s="25" t="str">
        <f>IF('Midterm 1'!AD$2=$A107,'Midterm 1'!AD$47," ")</f>
        <v xml:space="preserve"> </v>
      </c>
      <c r="FZ107" s="25" t="str">
        <f>IF('Midterm 1'!AE$1=$A107,'Midterm 1'!AE$47," ")</f>
        <v xml:space="preserve"> </v>
      </c>
      <c r="GA107" s="25" t="str">
        <f>IF('Midterm 1'!AE$2=$A107,'Midterm 1'!AE$47," ")</f>
        <v xml:space="preserve"> </v>
      </c>
      <c r="GB107" s="25" t="str">
        <f>IF('Midterm 1'!AF$1=$A107,'Midterm 1'!AF$47," ")</f>
        <v xml:space="preserve"> </v>
      </c>
      <c r="GC107" s="25" t="str">
        <f>IF('Midterm 1'!AF$2=$A107,'Midterm 1'!AF$47," ")</f>
        <v xml:space="preserve"> </v>
      </c>
      <c r="GE107" s="25" t="str">
        <f>IF('Midterm 2'!C$1=$A107,'Midterm 2'!C$47," ")</f>
        <v xml:space="preserve"> </v>
      </c>
      <c r="GF107" s="25" t="str">
        <f>IF('Midterm 2'!C$2=$A107,'Midterm 2'!C$47," ")</f>
        <v xml:space="preserve"> </v>
      </c>
      <c r="GG107" s="25" t="str">
        <f>IF('Midterm 2'!D$1=$A107,'Midterm 2'!D$47," ")</f>
        <v xml:space="preserve"> </v>
      </c>
      <c r="GH107" s="25" t="str">
        <f>IF('Midterm 2'!D$2=$A107,'Midterm 2'!D$47," ")</f>
        <v xml:space="preserve"> </v>
      </c>
      <c r="GI107" s="25" t="str">
        <f>IF('Midterm 2'!E$1=$A107,'Midterm 2'!E$47," ")</f>
        <v xml:space="preserve"> </v>
      </c>
      <c r="GJ107" s="25" t="str">
        <f>IF('Midterm 2'!E$2=$A107,'Midterm 2'!E$47," ")</f>
        <v xml:space="preserve"> </v>
      </c>
      <c r="GK107" s="25" t="str">
        <f>IF('Midterm 2'!F$1=$A107,'Midterm 2'!F$47," ")</f>
        <v xml:space="preserve"> </v>
      </c>
      <c r="GL107" s="25" t="str">
        <f>IF('Midterm 2'!F$2=$A107,'Midterm 2'!F$47," ")</f>
        <v xml:space="preserve"> </v>
      </c>
      <c r="GM107" s="25" t="str">
        <f>IF('Midterm 2'!G$1=$A107,'Midterm 2'!G$47," ")</f>
        <v xml:space="preserve"> </v>
      </c>
      <c r="GN107" s="25" t="str">
        <f>IF('Midterm 2'!G$2=$A107,'Midterm 2'!G$47," ")</f>
        <v xml:space="preserve"> </v>
      </c>
      <c r="GO107" s="25" t="str">
        <f>IF('Midterm 2'!H$1=$A107,'Midterm 2'!H$47," ")</f>
        <v xml:space="preserve"> </v>
      </c>
      <c r="GP107" s="25" t="str">
        <f>IF('Midterm 2'!H$2=$A107,'Midterm 2'!H$47," ")</f>
        <v xml:space="preserve"> </v>
      </c>
      <c r="GQ107" s="25" t="str">
        <f>IF('Midterm 2'!I$1=$A107,'Midterm 2'!I$47," ")</f>
        <v xml:space="preserve"> </v>
      </c>
      <c r="GR107" s="25" t="str">
        <f>IF('Midterm 2'!I$2=$A107,'Midterm 2'!I$47," ")</f>
        <v xml:space="preserve"> </v>
      </c>
      <c r="GS107" s="25" t="str">
        <f>IF('Midterm 2'!J$1=$A107,'Midterm 2'!J$47," ")</f>
        <v xml:space="preserve"> </v>
      </c>
      <c r="GT107" s="25" t="str">
        <f>IF('Midterm 2'!J$2=$A107,'Midterm 2'!J$47," ")</f>
        <v xml:space="preserve"> </v>
      </c>
      <c r="GU107" s="25" t="str">
        <f>IF('Midterm 2'!K$1=$A107,'Midterm 2'!K$47," ")</f>
        <v xml:space="preserve"> </v>
      </c>
      <c r="GV107" s="25" t="str">
        <f>IF('Midterm 2'!K$2=$A107,'Midterm 2'!K$47," ")</f>
        <v xml:space="preserve"> </v>
      </c>
      <c r="GW107" s="25" t="str">
        <f>IF('Midterm 2'!L$1=$A107,'Midterm 2'!L$47," ")</f>
        <v xml:space="preserve"> </v>
      </c>
      <c r="GX107" s="25" t="str">
        <f>IF('Midterm 2'!L$2=$A107,'Midterm 2'!L$47," ")</f>
        <v xml:space="preserve"> </v>
      </c>
      <c r="GY107" s="25" t="str">
        <f>IF('Midterm 2'!M$1=$A107,'Midterm 2'!M$47," ")</f>
        <v xml:space="preserve"> </v>
      </c>
      <c r="GZ107" s="25" t="str">
        <f>IF('Midterm 2'!M$2=$A107,'Midterm 2'!M$47," ")</f>
        <v xml:space="preserve"> </v>
      </c>
      <c r="HA107" s="25" t="str">
        <f>IF('Midterm 2'!N$1=$A107,'Midterm 2'!N$47," ")</f>
        <v xml:space="preserve"> </v>
      </c>
      <c r="HB107" s="25" t="str">
        <f>IF('Midterm 2'!N$2=$A107,'Midterm 2'!N$47," ")</f>
        <v xml:space="preserve"> </v>
      </c>
      <c r="HC107" s="25" t="str">
        <f>IF('Midterm 2'!O$1=$A107,'Midterm 2'!O$47," ")</f>
        <v xml:space="preserve"> </v>
      </c>
      <c r="HD107" s="25" t="str">
        <f>IF('Midterm 2'!O$2=$A107,'Midterm 2'!O$47," ")</f>
        <v xml:space="preserve"> </v>
      </c>
      <c r="HE107" s="25" t="str">
        <f>IF('Midterm 2'!P$1=$A107,'Midterm 2'!P$47," ")</f>
        <v xml:space="preserve"> </v>
      </c>
      <c r="HF107" s="25" t="str">
        <f>IF('Midterm 2'!P$2=$A107,'Midterm 2'!P$47," ")</f>
        <v xml:space="preserve"> </v>
      </c>
      <c r="HG107" s="25" t="str">
        <f>IF('Midterm 2'!Q$1=$A107,'Midterm 2'!Q$47," ")</f>
        <v xml:space="preserve"> </v>
      </c>
      <c r="HH107" s="25" t="str">
        <f>IF('Midterm 2'!Q$2=$A107,'Midterm 2'!Q$47," ")</f>
        <v xml:space="preserve"> </v>
      </c>
      <c r="HI107" s="25" t="str">
        <f>IF('Midterm 2'!R$1=$A107,'Midterm 2'!R$47," ")</f>
        <v xml:space="preserve"> </v>
      </c>
      <c r="HJ107" s="25" t="str">
        <f>IF('Midterm 2'!R$2=$A107,'Midterm 2'!R$47," ")</f>
        <v xml:space="preserve"> </v>
      </c>
      <c r="HK107" s="25" t="str">
        <f>IF('Midterm 2'!S$1=$A107,'Midterm 2'!S$47," ")</f>
        <v xml:space="preserve"> </v>
      </c>
      <c r="HL107" s="25" t="str">
        <f>IF('Midterm 2'!S$2=$A107,'Midterm 2'!S$47," ")</f>
        <v xml:space="preserve"> </v>
      </c>
      <c r="HM107" s="25" t="str">
        <f>IF('Midterm 2'!T$1=$A107,'Midterm 2'!T$47," ")</f>
        <v xml:space="preserve"> </v>
      </c>
      <c r="HN107" s="25" t="str">
        <f>IF('Midterm 2'!T$2=$A107,'Midterm 2'!T$47," ")</f>
        <v xml:space="preserve"> </v>
      </c>
      <c r="HO107" s="25" t="str">
        <f>IF('Midterm 2'!U$1=$A107,'Midterm 2'!U$47," ")</f>
        <v xml:space="preserve"> </v>
      </c>
      <c r="HP107" s="25" t="str">
        <f>IF('Midterm 2'!U$2=$A107,'Midterm 2'!U$47," ")</f>
        <v xml:space="preserve"> </v>
      </c>
      <c r="HQ107" s="25" t="str">
        <f>IF('Midterm 2'!V$1=$A107,'Midterm 2'!V$47," ")</f>
        <v xml:space="preserve"> </v>
      </c>
      <c r="HR107" s="25" t="str">
        <f>IF('Midterm 2'!V$2=$A107,'Midterm 2'!V$47," ")</f>
        <v xml:space="preserve"> </v>
      </c>
      <c r="HS107" s="25" t="str">
        <f>IF('Midterm 2'!W$1=$A107,'Midterm 2'!W$47," ")</f>
        <v xml:space="preserve"> </v>
      </c>
      <c r="HT107" s="25" t="str">
        <f>IF('Midterm 2'!W$2=$A107,'Midterm 2'!W$47," ")</f>
        <v xml:space="preserve"> </v>
      </c>
      <c r="HU107" s="25" t="str">
        <f>IF('Midterm 2'!X$1=$A107,'Midterm 2'!X$47," ")</f>
        <v xml:space="preserve"> </v>
      </c>
      <c r="HV107" s="25" t="str">
        <f>IF('Midterm 2'!X$2=$A107,'Midterm 2'!X$47," ")</f>
        <v xml:space="preserve"> </v>
      </c>
      <c r="HW107" s="25" t="str">
        <f>IF('Midterm 2'!Y$1=$A107,'Midterm 2'!Y$47," ")</f>
        <v xml:space="preserve"> </v>
      </c>
      <c r="HX107" s="25" t="str">
        <f>IF('Midterm 2'!Y$2=$A107,'Midterm 2'!Y$47," ")</f>
        <v xml:space="preserve"> </v>
      </c>
      <c r="HY107" s="25" t="str">
        <f>IF('Midterm 2'!Z$1=$A107,'Midterm 2'!Z$47," ")</f>
        <v xml:space="preserve"> </v>
      </c>
      <c r="HZ107" s="25" t="str">
        <f>IF('Midterm 2'!Z$2=$A107,'Midterm 2'!Z$47," ")</f>
        <v xml:space="preserve"> </v>
      </c>
      <c r="IA107" s="25" t="str">
        <f>IF('Midterm 2'!AA$1=$A107,'Midterm 2'!AA$47," ")</f>
        <v xml:space="preserve"> </v>
      </c>
      <c r="IB107" s="25" t="str">
        <f>IF('Midterm 2'!AA$2=$A107,'Midterm 2'!AA$47," ")</f>
        <v xml:space="preserve"> </v>
      </c>
      <c r="IC107" s="25" t="str">
        <f>IF('Midterm 2'!AB$1=$A107,'Midterm 2'!AB$47," ")</f>
        <v xml:space="preserve"> </v>
      </c>
      <c r="ID107" s="25" t="str">
        <f>IF('Midterm 2'!AB$2=$A107,'Midterm 2'!AB$47," ")</f>
        <v xml:space="preserve"> </v>
      </c>
      <c r="IE107" s="25" t="str">
        <f>IF('Midterm 2'!AC$1=$A107,'Midterm 2'!AC$47," ")</f>
        <v xml:space="preserve"> </v>
      </c>
      <c r="IF107" s="25" t="str">
        <f>IF('Midterm 2'!AC$2=$A107,'Midterm 2'!AC$47," ")</f>
        <v xml:space="preserve"> </v>
      </c>
      <c r="IG107" s="25" t="str">
        <f>IF('Midterm 2'!AD$1=$A107,'Midterm 2'!AD$47," ")</f>
        <v xml:space="preserve"> </v>
      </c>
      <c r="IH107" s="25" t="str">
        <f>IF('Midterm 2'!AD$2=$A107,'Midterm 2'!AD$47," ")</f>
        <v xml:space="preserve"> </v>
      </c>
      <c r="II107" s="25" t="str">
        <f>IF('Midterm 2'!AE$1=$A107,'Midterm 2'!AE$47," ")</f>
        <v xml:space="preserve"> </v>
      </c>
      <c r="IJ107" s="25" t="str">
        <f>IF('Midterm 2'!AE$2=$A107,'Midterm 2'!AE$47," ")</f>
        <v xml:space="preserve"> </v>
      </c>
      <c r="IK107" s="25" t="str">
        <f>IF('Midterm 2'!AF$1=$A107,'Midterm 2'!AF$47," ")</f>
        <v xml:space="preserve"> </v>
      </c>
      <c r="IL107" s="25" t="str">
        <f>IF('Midterm 2'!AF$2=$A107,'Midterm 2'!AF$47," ")</f>
        <v xml:space="preserve"> </v>
      </c>
      <c r="IM107" s="25" t="str">
        <f>IF('Midterm 2'!AG$1=$A107,'Midterm 2'!AG$47," ")</f>
        <v xml:space="preserve"> </v>
      </c>
      <c r="IN107" s="25" t="str">
        <f>IF('Midterm 2'!AG$2=$A107,'Midterm 2'!AG$47," ")</f>
        <v xml:space="preserve"> </v>
      </c>
      <c r="IO107" s="25" t="str">
        <f>IF('Midterm 2'!AH$1=$A107,'Midterm 2'!AH$47," ")</f>
        <v xml:space="preserve"> </v>
      </c>
      <c r="IP107" s="25" t="str">
        <f>IF('Midterm 2'!AH$2=$A107,'Midterm 2'!AF$47," ")</f>
        <v xml:space="preserve"> </v>
      </c>
      <c r="IR107" s="54" t="str">
        <f>IF('Final Exam'!C$1=$A107,'Final Exam'!C$46," ")</f>
        <v xml:space="preserve"> </v>
      </c>
      <c r="IS107" s="54" t="str">
        <f>IF('Final Exam'!C$2=$A107,'Final Exam'!C$46," ")</f>
        <v xml:space="preserve"> </v>
      </c>
      <c r="IT107" s="54" t="str">
        <f>IF('Final Exam'!D$1=$A107,'Final Exam'!D$46," ")</f>
        <v xml:space="preserve"> </v>
      </c>
      <c r="IU107" s="54" t="str">
        <f>IF('Final Exam'!D$2=$A107,'Final Exam'!D$46," ")</f>
        <v xml:space="preserve"> </v>
      </c>
      <c r="IV107" s="54" t="str">
        <f>IF('Final Exam'!E$1=$A107,'Final Exam'!E$46," ")</f>
        <v xml:space="preserve"> </v>
      </c>
      <c r="IW107" s="54" t="str">
        <f>IF('Final Exam'!E$2=$A107,'Final Exam'!E$46," ")</f>
        <v xml:space="preserve"> </v>
      </c>
      <c r="IX107" s="54" t="str">
        <f>IF('Final Exam'!F$1=$A107,'Final Exam'!F$46," ")</f>
        <v xml:space="preserve"> </v>
      </c>
      <c r="IY107" s="54" t="str">
        <f>IF('Final Exam'!F$2=$A107,'Final Exam'!F$46," ")</f>
        <v xml:space="preserve"> </v>
      </c>
      <c r="IZ107" s="54" t="str">
        <f>IF('Final Exam'!G$1=$A107,'Final Exam'!G$46," ")</f>
        <v xml:space="preserve"> </v>
      </c>
      <c r="JA107" s="54" t="str">
        <f>IF('Final Exam'!G$2=$A107,'Final Exam'!G$46," ")</f>
        <v xml:space="preserve"> </v>
      </c>
      <c r="JB107" s="54" t="str">
        <f>IF('Final Exam'!H$1=$A107,'Final Exam'!G$46," ")</f>
        <v xml:space="preserve"> </v>
      </c>
      <c r="JC107" s="54" t="str">
        <f>IF('Final Exam'!H$2=$A107,'Final Exam'!H$46," ")</f>
        <v xml:space="preserve"> </v>
      </c>
      <c r="JD107" s="54" t="str">
        <f>IF('Final Exam'!I$1=$A107,'Final Exam'!I$46," ")</f>
        <v xml:space="preserve"> </v>
      </c>
      <c r="JE107" s="54" t="str">
        <f>IF('Final Exam'!I$2=$A107,'Final Exam'!I$46," ")</f>
        <v xml:space="preserve"> </v>
      </c>
      <c r="JF107" s="54" t="str">
        <f>IF('Final Exam'!J$1=$A107,'Final Exam'!J$46," ")</f>
        <v xml:space="preserve"> </v>
      </c>
      <c r="JG107" s="54" t="str">
        <f>IF('Final Exam'!J$2=$A107,'Final Exam'!J$46," ")</f>
        <v xml:space="preserve"> </v>
      </c>
      <c r="JH107" s="54" t="str">
        <f>IF('Final Exam'!K$1=$A107,'Final Exam'!K$46," ")</f>
        <v xml:space="preserve"> </v>
      </c>
      <c r="JI107" s="54" t="str">
        <f>IF('Final Exam'!K$2=$A107,'Final Exam'!K$46," ")</f>
        <v xml:space="preserve"> </v>
      </c>
      <c r="JJ107" s="54" t="str">
        <f>IF('Final Exam'!L$1=$A107,'Final Exam'!L$46," ")</f>
        <v xml:space="preserve"> </v>
      </c>
      <c r="JK107" s="54" t="str">
        <f>IF('Final Exam'!L$2=$A107,'Final Exam'!L$46," ")</f>
        <v xml:space="preserve"> </v>
      </c>
      <c r="JL107" s="54" t="str">
        <f>IF('Final Exam'!M$1=$A107,'Final Exam'!M$46," ")</f>
        <v xml:space="preserve"> </v>
      </c>
      <c r="JM107" s="54" t="str">
        <f>IF('Final Exam'!M$2=$A107,'Final Exam'!M$46," ")</f>
        <v xml:space="preserve"> </v>
      </c>
      <c r="JN107" s="54" t="str">
        <f>IF('Final Exam'!N$1=$A107,'Final Exam'!N$46," ")</f>
        <v xml:space="preserve"> </v>
      </c>
      <c r="JO107" s="54" t="str">
        <f>IF('Final Exam'!N$2=$A107,'Final Exam'!N$46," ")</f>
        <v xml:space="preserve"> </v>
      </c>
      <c r="JP107" s="54" t="str">
        <f>IF('Final Exam'!O$1=$A107,'Final Exam'!O$46," ")</f>
        <v xml:space="preserve"> </v>
      </c>
      <c r="JQ107" s="54" t="str">
        <f>IF('Final Exam'!O$2=$A107,'Final Exam'!O$46," ")</f>
        <v xml:space="preserve"> </v>
      </c>
      <c r="JR107" s="54" t="str">
        <f>IF('Final Exam'!P$1=$A107,'Final Exam'!P$46," ")</f>
        <v xml:space="preserve"> </v>
      </c>
      <c r="JS107" s="54" t="str">
        <f>IF('Final Exam'!P$2=$A107,'Final Exam'!P$46," ")</f>
        <v xml:space="preserve"> </v>
      </c>
      <c r="JT107" s="54" t="str">
        <f>IF('Final Exam'!Q$1=$A107,'Final Exam'!Q$46," ")</f>
        <v xml:space="preserve"> </v>
      </c>
      <c r="JU107" s="54" t="str">
        <f>IF('Final Exam'!Q$2=$A107,'Final Exam'!Q$46," ")</f>
        <v xml:space="preserve"> </v>
      </c>
      <c r="JV107" s="54" t="str">
        <f>IF('Final Exam'!R$1=$A107,'Final Exam'!R$46," ")</f>
        <v xml:space="preserve"> </v>
      </c>
      <c r="JW107" s="54" t="str">
        <f>IF('Final Exam'!R$2=$A107,'Final Exam'!R$46," ")</f>
        <v xml:space="preserve"> </v>
      </c>
      <c r="JX107" s="54" t="str">
        <f>IF('Final Exam'!S$1=$A107,'Final Exam'!S$46," ")</f>
        <v xml:space="preserve"> </v>
      </c>
      <c r="JY107" s="54" t="str">
        <f>IF('Final Exam'!S$2=$A107,'Final Exam'!S$46," ")</f>
        <v xml:space="preserve"> </v>
      </c>
      <c r="JZ107" s="54" t="str">
        <f>IF('Final Exam'!T$1=$A107,'Final Exam'!T$46," ")</f>
        <v xml:space="preserve"> </v>
      </c>
      <c r="KA107" s="54" t="str">
        <f>IF('Final Exam'!T$2=$A107,'Final Exam'!T$46," ")</f>
        <v xml:space="preserve"> </v>
      </c>
      <c r="KB107" s="54" t="str">
        <f>IF('Final Exam'!U$1=$A107,'Final Exam'!U$46," ")</f>
        <v xml:space="preserve"> </v>
      </c>
      <c r="KC107" s="54" t="str">
        <f>IF('Final Exam'!U$2=$A107,'Final Exam'!U$46," ")</f>
        <v xml:space="preserve"> </v>
      </c>
      <c r="KD107" s="54" t="str">
        <f>IF('Final Exam'!V$1=$A107,'Final Exam'!V$46," ")</f>
        <v xml:space="preserve"> </v>
      </c>
      <c r="KE107" s="54" t="str">
        <f>IF('Final Exam'!V$2=$A107,'Final Exam'!V$46," ")</f>
        <v xml:space="preserve"> </v>
      </c>
      <c r="KF107" s="54" t="str">
        <f>IF('Final Exam'!W$1=$A107,'Final Exam'!W$46," ")</f>
        <v xml:space="preserve"> </v>
      </c>
      <c r="KG107" s="54" t="str">
        <f>IF('Final Exam'!W$2=$A107,'Final Exam'!W$46," ")</f>
        <v xml:space="preserve"> </v>
      </c>
      <c r="KH107" s="54" t="str">
        <f>IF('Final Exam'!X$1=$A107,'Final Exam'!X$46," ")</f>
        <v xml:space="preserve"> </v>
      </c>
      <c r="KI107" s="54" t="str">
        <f>IF('Final Exam'!X$2=$A107,'Final Exam'!X$46," ")</f>
        <v xml:space="preserve"> </v>
      </c>
      <c r="KJ107" s="54" t="str">
        <f>IF('Final Exam'!Y$1=$A107,'Final Exam'!Y$46," ")</f>
        <v xml:space="preserve"> </v>
      </c>
      <c r="KK107" s="54" t="str">
        <f>IF('Final Exam'!Y$2=$A107,'Final Exam'!Y$46," ")</f>
        <v xml:space="preserve"> </v>
      </c>
      <c r="KL107" s="54" t="str">
        <f>IF('Final Exam'!Z$1=$A107,'Final Exam'!Z$46," ")</f>
        <v xml:space="preserve"> </v>
      </c>
      <c r="KM107" s="54" t="str">
        <f>IF('Final Exam'!Z$2=$A107,'Final Exam'!Z$46," ")</f>
        <v xml:space="preserve"> </v>
      </c>
      <c r="KN107" s="54" t="str">
        <f>IF('Final Exam'!AA$1=$A107,'Final Exam'!AA$46," ")</f>
        <v xml:space="preserve"> </v>
      </c>
      <c r="KO107" s="54" t="str">
        <f>IF('Final Exam'!AA$2=$A107,'Final Exam'!AA$46," ")</f>
        <v xml:space="preserve"> </v>
      </c>
      <c r="KP107" s="54" t="str">
        <f>IF('Final Exam'!AB$1=$A107,'Final Exam'!AB$46," ")</f>
        <v xml:space="preserve"> </v>
      </c>
      <c r="KQ107" s="54" t="str">
        <f>IF('Final Exam'!AB$2=$A107,'Final Exam'!AB$46," ")</f>
        <v xml:space="preserve"> </v>
      </c>
      <c r="KR107" s="54" t="str">
        <f>IF('Final Exam'!AC$1=$A107,'Final Exam'!AC$46," ")</f>
        <v xml:space="preserve"> </v>
      </c>
      <c r="KS107" s="54" t="str">
        <f>IF('Final Exam'!AC$2=$A107,'Final Exam'!AC$46," ")</f>
        <v xml:space="preserve"> </v>
      </c>
      <c r="KT107" s="54" t="str">
        <f>IF('Final Exam'!AD$1=$A107,'Final Exam'!AD$46," ")</f>
        <v xml:space="preserve"> </v>
      </c>
      <c r="KU107" s="54" t="str">
        <f>IF('Final Exam'!AD$2=$A107,'Final Exam'!AD$46," ")</f>
        <v xml:space="preserve"> </v>
      </c>
      <c r="KV107" s="54" t="str">
        <f>IF('Final Exam'!AE$1=$A107,'Final Exam'!AE$46," ")</f>
        <v xml:space="preserve"> </v>
      </c>
      <c r="KW107" s="54" t="str">
        <f>IF('Final Exam'!AE$2=$A107,'Final Exam'!AE$46," ")</f>
        <v xml:space="preserve"> </v>
      </c>
      <c r="KX107" s="54" t="str">
        <f>IF('Final Exam'!AF$1=$A107,'Final Exam'!AF$46," ")</f>
        <v xml:space="preserve"> </v>
      </c>
      <c r="KY107" s="54" t="str">
        <f>IF('Final Exam'!AF$2=$A107,'Final Exam'!AF$46," ")</f>
        <v xml:space="preserve"> </v>
      </c>
      <c r="KZ107" s="54" t="str">
        <f>IF('Final Exam'!AG$1=$A107,'Final Exam'!AG$46," ")</f>
        <v xml:space="preserve"> </v>
      </c>
      <c r="LA107" s="54" t="str">
        <f>IF('Final Exam'!AG$2=$A107,'Final Exam'!AG$46," ")</f>
        <v xml:space="preserve"> </v>
      </c>
      <c r="LC107" s="180" t="str">
        <f>IF('Incomplete Final'!C$1=$A107,'Incomplete Final'!C$46," ")</f>
        <v xml:space="preserve"> </v>
      </c>
      <c r="LD107" s="180" t="str">
        <f>IF('Incomplete Final'!C$2=$A107,'Incomplete Final'!C$46," ")</f>
        <v xml:space="preserve"> </v>
      </c>
      <c r="LE107" s="180" t="str">
        <f>IF('Incomplete Final'!D$1=$A107,'Incomplete Final'!D$46," ")</f>
        <v xml:space="preserve"> </v>
      </c>
      <c r="LF107" s="180" t="str">
        <f>IF('Incomplete Final'!D$2=$A107,'Incomplete Final'!D$46," ")</f>
        <v xml:space="preserve"> </v>
      </c>
      <c r="LG107" s="180" t="str">
        <f>IF('Incomplete Final'!E$1=$A107,'Incomplete Final'!E$46," ")</f>
        <v xml:space="preserve"> </v>
      </c>
      <c r="LH107" s="180" t="str">
        <f>IF('Incomplete Final'!E$2=$A107,'Incomplete Final'!E$46," ")</f>
        <v xml:space="preserve"> </v>
      </c>
      <c r="LI107" s="180" t="str">
        <f>IF('Incomplete Final'!F$1=$A107,'Incomplete Final'!F$46," ")</f>
        <v xml:space="preserve"> </v>
      </c>
      <c r="LJ107" s="180" t="str">
        <f>IF('Incomplete Final'!F$2=$A107,'Incomplete Final'!F$46," ")</f>
        <v xml:space="preserve"> </v>
      </c>
      <c r="LK107" s="180" t="str">
        <f>IF('Incomplete Final'!G$1=$A107,'Incomplete Final'!G$46," ")</f>
        <v xml:space="preserve"> </v>
      </c>
      <c r="LL107" s="180" t="str">
        <f>IF('Incomplete Final'!G$2=$A107,'Incomplete Final'!G$46," ")</f>
        <v xml:space="preserve"> </v>
      </c>
      <c r="LM107" s="180" t="str">
        <f>IF('Incomplete Final'!H$1=$A107,'Incomplete Final'!H$46," ")</f>
        <v xml:space="preserve"> </v>
      </c>
      <c r="LN107" s="180" t="str">
        <f>IF('Incomplete Final'!H$2=$A107,'Incomplete Final'!H$46," ")</f>
        <v xml:space="preserve"> </v>
      </c>
      <c r="LO107" s="180" t="str">
        <f>IF('Incomplete Final'!I$1=$A107,'Incomplete Final'!I$46," ")</f>
        <v xml:space="preserve"> </v>
      </c>
      <c r="LP107" s="180" t="str">
        <f>IF('Incomplete Final'!I$2=$A107,'Incomplete Final'!I$46," ")</f>
        <v xml:space="preserve"> </v>
      </c>
      <c r="LQ107" s="180" t="str">
        <f>IF('Incomplete Final'!J$1=$A107,'Incomplete Final'!J$46," ")</f>
        <v xml:space="preserve"> </v>
      </c>
      <c r="LR107" s="180" t="str">
        <f>IF('Incomplete Final'!J$2=$A107,'Incomplete Final'!J$46," ")</f>
        <v xml:space="preserve"> </v>
      </c>
      <c r="LS107" s="180" t="str">
        <f>IF('Incomplete Final'!K$1=$A107,'Incomplete Final'!K$46," ")</f>
        <v xml:space="preserve"> </v>
      </c>
      <c r="LT107" s="180" t="str">
        <f>IF('Incomplete Final'!K$2=$A107,'Incomplete Final'!K$46," ")</f>
        <v xml:space="preserve"> </v>
      </c>
      <c r="LU107" s="180" t="str">
        <f>IF('Incomplete Final'!L$1=$A107,'Incomplete Final'!L$46," ")</f>
        <v xml:space="preserve"> </v>
      </c>
      <c r="LV107" s="180" t="str">
        <f>IF('Incomplete Final'!L$2=$A107,'Incomplete Final'!L$46," ")</f>
        <v xml:space="preserve"> </v>
      </c>
      <c r="LW107" s="180" t="str">
        <f>IF('Incomplete Final'!M$1=$A107,'Incomplete Final'!M$46," ")</f>
        <v xml:space="preserve"> </v>
      </c>
      <c r="LX107" s="180" t="str">
        <f>IF('Incomplete Final'!M$2=$A107,'Incomplete Final'!M$46," ")</f>
        <v xml:space="preserve"> </v>
      </c>
      <c r="LY107" s="180" t="str">
        <f>IF('Incomplete Final'!N$1=$A107,'Incomplete Final'!N$46," ")</f>
        <v xml:space="preserve"> </v>
      </c>
      <c r="LZ107" s="180" t="str">
        <f>IF('Incomplete Final'!N$2=$A107,'Incomplete Final'!N$46," ")</f>
        <v xml:space="preserve"> </v>
      </c>
      <c r="MA107" s="180" t="str">
        <f>IF('Incomplete Final'!O$1=$A107,'Incomplete Final'!O$46," ")</f>
        <v xml:space="preserve"> </v>
      </c>
      <c r="MB107" s="180" t="str">
        <f>IF('Incomplete Final'!O$2=$A107,'Incomplete Final'!AB$46," ")</f>
        <v xml:space="preserve"> </v>
      </c>
      <c r="MC107" s="180" t="str">
        <f>IF('Incomplete Final'!P$1=$A107,'Incomplete Final'!P$46," ")</f>
        <v xml:space="preserve"> </v>
      </c>
      <c r="MD107" s="180" t="str">
        <f>IF('Incomplete Final'!P$2=$A107,'Incomplete Final'!P$46," ")</f>
        <v xml:space="preserve"> </v>
      </c>
      <c r="ME107" s="180" t="str">
        <f>IF('Incomplete Final'!Q$1=$A107,'Incomplete Final'!Q$46," ")</f>
        <v xml:space="preserve"> </v>
      </c>
      <c r="MF107" s="180" t="str">
        <f>IF('Incomplete Final'!Q$2=$A107,'Incomplete Final'!Q$46," ")</f>
        <v xml:space="preserve"> </v>
      </c>
      <c r="MG107" s="180" t="str">
        <f>IF('Incomplete Final'!R$1=$A107,'Incomplete Final'!R$46," ")</f>
        <v xml:space="preserve"> </v>
      </c>
      <c r="MH107" s="180" t="str">
        <f>IF('Incomplete Final'!R$2=$A107,'Incomplete Final'!R$46," ")</f>
        <v xml:space="preserve"> </v>
      </c>
      <c r="MI107" s="180" t="str">
        <f>IF('Incomplete Final'!S$1=$A107,'Incomplete Final'!S$46," ")</f>
        <v xml:space="preserve"> </v>
      </c>
      <c r="MJ107" s="180" t="str">
        <f>IF('Incomplete Final'!S$2=$A107,'Incomplete Final'!S$46," ")</f>
        <v xml:space="preserve"> </v>
      </c>
      <c r="MK107" s="180" t="str">
        <f>IF('Incomplete Final'!T$1=$A107,'Incomplete Final'!T$46," ")</f>
        <v xml:space="preserve"> </v>
      </c>
      <c r="ML107" s="180" t="str">
        <f>IF('Incomplete Final'!T$2=$A107,'Incomplete Final'!T$46," ")</f>
        <v xml:space="preserve"> </v>
      </c>
      <c r="MM107" s="180" t="str">
        <f>IF('Incomplete Final'!U$1=$A107,'Incomplete Final'!U$46," ")</f>
        <v xml:space="preserve"> </v>
      </c>
      <c r="MN107" s="180" t="str">
        <f>IF('Incomplete Final'!U$2=$A107,'Incomplete Final'!U$46," ")</f>
        <v xml:space="preserve"> </v>
      </c>
      <c r="MO107" s="180" t="str">
        <f>IF('Incomplete Final'!V$1=$A107,'Incomplete Final'!V$46," ")</f>
        <v xml:space="preserve"> </v>
      </c>
      <c r="MP107" s="180" t="str">
        <f>IF('Incomplete Final'!V$2=$A107,'Incomplete Final'!V$46," ")</f>
        <v xml:space="preserve"> </v>
      </c>
      <c r="MQ107" s="180" t="str">
        <f>IF('Incomplete Final'!W$1=$A107,'Incomplete Final'!W$46," ")</f>
        <v xml:space="preserve"> </v>
      </c>
      <c r="MR107" s="180" t="str">
        <f>IF('Incomplete Final'!W$2=$A107,'Incomplete Final'!W$46," ")</f>
        <v xml:space="preserve"> </v>
      </c>
      <c r="MS107" s="180" t="str">
        <f>IF('Incomplete Final'!X$1=$A107,'Incomplete Final'!X$46," ")</f>
        <v xml:space="preserve"> </v>
      </c>
      <c r="MT107" s="180" t="str">
        <f>IF('Incomplete Final'!X$2=$A107,'Incomplete Final'!X$46," ")</f>
        <v xml:space="preserve"> </v>
      </c>
      <c r="MU107" s="180" t="str">
        <f>IF('Incomplete Final'!Y$1=$A107,'Incomplete Final'!Y$46," ")</f>
        <v xml:space="preserve"> </v>
      </c>
      <c r="MV107" s="180" t="str">
        <f>IF('Incomplete Final'!Y$2=$A107,'Incomplete Final'!Y$46," ")</f>
        <v xml:space="preserve"> </v>
      </c>
      <c r="MW107" s="180" t="str">
        <f>IF('Incomplete Final'!Z$1=$A107,'Incomplete Final'!Z$46," ")</f>
        <v xml:space="preserve"> </v>
      </c>
      <c r="MX107" s="180" t="str">
        <f>IF('Incomplete Final'!Z$2=$A107,'Incomplete Final'!Z$46," ")</f>
        <v xml:space="preserve"> </v>
      </c>
      <c r="MY107" s="180" t="str">
        <f>IF('Incomplete Final'!AA$1=$A107,'Incomplete Final'!AA$46," ")</f>
        <v xml:space="preserve"> </v>
      </c>
      <c r="MZ107" s="180" t="str">
        <f>IF('Incomplete Final'!AA$2=$A107,'Incomplete Final'!AA$46," ")</f>
        <v xml:space="preserve"> </v>
      </c>
      <c r="NA107" s="180" t="str">
        <f>IF('Incomplete Final'!AB$1=$A107,'Incomplete Final'!AB$46," ")</f>
        <v xml:space="preserve"> </v>
      </c>
      <c r="NB107" s="180" t="str">
        <f>IF('Incomplete Final'!AB$2=$A107,'Incomplete Final'!AB$46," ")</f>
        <v xml:space="preserve"> </v>
      </c>
      <c r="NC107" s="180" t="str">
        <f>IF('Incomplete Final'!AC$1=$A107,'Incomplete Final'!AC$46," ")</f>
        <v xml:space="preserve"> </v>
      </c>
      <c r="ND107" s="180" t="str">
        <f>IF('Incomplete Final'!AC$2=$A107,'Incomplete Final'!AC$46," ")</f>
        <v xml:space="preserve"> </v>
      </c>
      <c r="NE107" s="180" t="str">
        <f>IF('Incomplete Final'!AD$1=$A107,'Incomplete Final'!AD$46," ")</f>
        <v xml:space="preserve"> </v>
      </c>
      <c r="NF107" s="180" t="str">
        <f>IF('Incomplete Final'!AD$2=$A107,'Incomplete Final'!AD$46," ")</f>
        <v xml:space="preserve"> </v>
      </c>
      <c r="NG107" s="180" t="str">
        <f>IF('Incomplete Final'!AE$1=$A107,'Incomplete Final'!AE$46," ")</f>
        <v xml:space="preserve"> </v>
      </c>
      <c r="NH107" s="180" t="str">
        <f>IF('Incomplete Final'!AE$2=$A107,'Incomplete Final'!AE$46," ")</f>
        <v xml:space="preserve"> </v>
      </c>
      <c r="NI107" s="180" t="str">
        <f>IF('Incomplete Final'!AF$1=$A107,'Incomplete Final'!AF$46," ")</f>
        <v xml:space="preserve"> </v>
      </c>
      <c r="NJ107" s="180" t="str">
        <f>IF('Incomplete Final'!AF$2=$A107,'Incomplete Final'!AF$46," ")</f>
        <v xml:space="preserve"> </v>
      </c>
      <c r="NK107" s="180" t="str">
        <f>IF('Incomplete Final'!AG$1=$A107,'Incomplete Final'!AG$46," ")</f>
        <v xml:space="preserve"> </v>
      </c>
      <c r="NL107" s="180" t="str">
        <f>IF('Incomplete Final'!AG$2=$A107,'Incomplete Final'!AG$46," ")</f>
        <v xml:space="preserve"> </v>
      </c>
      <c r="NN107" s="53" t="str">
        <f>IF('Laboratory Final'!C$1=$A107,'Laboratory Final'!C$46," ")</f>
        <v xml:space="preserve"> </v>
      </c>
      <c r="NO107" s="53" t="str">
        <f>IF('Laboratory Final'!C$2=$A107,'Laboratory Final'!C$46," ")</f>
        <v xml:space="preserve"> </v>
      </c>
      <c r="NP107" s="53" t="str">
        <f>IF('Laboratory Final'!D$1=$A107,'Laboratory Final'!D$46," ")</f>
        <v xml:space="preserve"> </v>
      </c>
      <c r="NQ107" s="53" t="str">
        <f>IF('Laboratory Final'!D$2=$A107,'Laboratory Final'!D$46," ")</f>
        <v xml:space="preserve"> </v>
      </c>
      <c r="NR107" s="53" t="str">
        <f>IF('Laboratory Final'!E$1=$A107,'Laboratory Final'!E$46," ")</f>
        <v xml:space="preserve"> </v>
      </c>
      <c r="NS107" s="53" t="str">
        <f>IF('Laboratory Final'!E$2=$A107,'Laboratory Final'!E$46," ")</f>
        <v xml:space="preserve"> </v>
      </c>
      <c r="NT107" s="53" t="str">
        <f>IF('Laboratory Final'!F$1=$A107,'Laboratory Final'!F$46," ")</f>
        <v xml:space="preserve"> </v>
      </c>
      <c r="NU107" s="53" t="str">
        <f>IF('Laboratory Final'!F$2=$A107,'Laboratory Final'!F$46," ")</f>
        <v xml:space="preserve"> </v>
      </c>
      <c r="NV107" s="53" t="str">
        <f>IF('Laboratory Final'!G$1=$A107,'Laboratory Final'!G$46," ")</f>
        <v xml:space="preserve"> </v>
      </c>
      <c r="NW107" s="53" t="str">
        <f>IF('Laboratory Final'!G$2=$A107,'Laboratory Final'!G$46," ")</f>
        <v xml:space="preserve"> </v>
      </c>
      <c r="NX107" s="53" t="str">
        <f>IF('Laboratory Final'!H$1=$A107,'Laboratory Final'!H$46," ")</f>
        <v xml:space="preserve"> </v>
      </c>
      <c r="NY107" s="53" t="str">
        <f>IF('Laboratory Final'!H$2=$A107,'Laboratory Final'!H$46," ")</f>
        <v xml:space="preserve"> </v>
      </c>
      <c r="NZ107" s="53" t="str">
        <f>IF('Laboratory Final'!I$1=$A107,'Laboratory Final'!I$46," ")</f>
        <v xml:space="preserve"> </v>
      </c>
      <c r="OA107" s="53" t="str">
        <f>IF('Laboratory Final'!I$2=$A107,'Laboratory Final'!I$46," ")</f>
        <v xml:space="preserve"> </v>
      </c>
      <c r="OB107" s="53" t="str">
        <f>IF('Laboratory Final'!J$1=$A107,'Laboratory Final'!J$46," ")</f>
        <v xml:space="preserve"> </v>
      </c>
      <c r="OC107" s="53" t="str">
        <f>IF('Laboratory Final'!J$2=$A107,'Laboratory Final'!J$46," ")</f>
        <v xml:space="preserve"> </v>
      </c>
      <c r="OD107" s="53" t="str">
        <f>IF('Laboratory Final'!K$1=$A107,'Laboratory Final'!K$46," ")</f>
        <v xml:space="preserve"> </v>
      </c>
      <c r="OE107" s="53" t="str">
        <f>IF('Laboratory Final'!K$2=$A107,'Laboratory Final'!K$46," ")</f>
        <v xml:space="preserve"> </v>
      </c>
      <c r="OF107" s="53" t="str">
        <f>IF('Laboratory Final'!L$1=$A107,'Laboratory Final'!L$46," ")</f>
        <v xml:space="preserve"> </v>
      </c>
      <c r="OG107" s="53" t="str">
        <f>IF('Laboratory Final'!L$2=$A107,'Laboratory Final'!L$46," ")</f>
        <v xml:space="preserve"> </v>
      </c>
      <c r="OI107" s="192" t="e">
        <f t="shared" ref="OI107:OI117" si="14">AVERAGE(D107:OG107)</f>
        <v>#DIV/0!</v>
      </c>
    </row>
    <row r="108" spans="1:399" ht="18.75" x14ac:dyDescent="0.3">
      <c r="A108" s="48">
        <v>3</v>
      </c>
      <c r="B108" s="55">
        <f>IF(SUM(D108:LA108)=0,0,AVERAGE('Course Analysis'!D108:LA108))</f>
        <v>0</v>
      </c>
      <c r="D108" s="53" t="str">
        <f>IF(Project!C$1=$A108,Project!C$46," ")</f>
        <v xml:space="preserve"> </v>
      </c>
      <c r="E108" s="53" t="str">
        <f>IF(Project!C$2=$A108,Project!C$46," ")</f>
        <v xml:space="preserve"> </v>
      </c>
      <c r="F108" s="53" t="str">
        <f>IF(Project!D$1=$A108,Project!D$46," ")</f>
        <v xml:space="preserve"> </v>
      </c>
      <c r="G108" s="53" t="str">
        <f>IF(Project!D$2=$A108,Project!D$46," ")</f>
        <v xml:space="preserve"> </v>
      </c>
      <c r="H108" s="53" t="str">
        <f>IF(Project!E$1=$A108,Project!E$46," ")</f>
        <v xml:space="preserve"> </v>
      </c>
      <c r="I108" s="53" t="str">
        <f>IF(Project!E$2=$A108,Project!E$46," ")</f>
        <v xml:space="preserve"> </v>
      </c>
      <c r="J108" s="53" t="str">
        <f>IF(Project!F$1=$A108,Project!F$46," ")</f>
        <v xml:space="preserve"> </v>
      </c>
      <c r="K108" s="53" t="str">
        <f>IF(Project!F$2=$A108,Project!F$46," ")</f>
        <v xml:space="preserve"> </v>
      </c>
      <c r="L108" s="53" t="str">
        <f>IF(Project!G$1=$A108,Project!G$46," ")</f>
        <v xml:space="preserve"> </v>
      </c>
      <c r="M108" s="53" t="str">
        <f>IF(Project!G$2=$A108,Project!G$46," ")</f>
        <v xml:space="preserve"> </v>
      </c>
      <c r="N108" s="53" t="str">
        <f>IF(Project!H$1=$A108,Project!H$46," ")</f>
        <v xml:space="preserve"> </v>
      </c>
      <c r="O108" s="53" t="str">
        <f>IF(Project!H$2=$A108,Project!H$46," ")</f>
        <v xml:space="preserve"> </v>
      </c>
      <c r="P108" s="53" t="str">
        <f>IF(Project!I$1=$A108,Project!I$46," ")</f>
        <v xml:space="preserve"> </v>
      </c>
      <c r="Q108" s="53" t="str">
        <f>IF(Project!I$2=$A108,Project!I$46," ")</f>
        <v xml:space="preserve"> </v>
      </c>
      <c r="R108" s="53" t="str">
        <f>IF(Project!J$1=$A108,Project!J$46," ")</f>
        <v xml:space="preserve"> </v>
      </c>
      <c r="S108" s="53" t="str">
        <f>IF(Project!J$2=$A108,Project!J$46," ")</f>
        <v xml:space="preserve"> </v>
      </c>
      <c r="T108" s="53" t="str">
        <f>IF(Project!K$1=$A108,Project!K$46," ")</f>
        <v xml:space="preserve"> </v>
      </c>
      <c r="U108" s="53" t="str">
        <f>IF(Project!K$2=$A108,Project!K$46," ")</f>
        <v xml:space="preserve"> </v>
      </c>
      <c r="V108" s="53" t="str">
        <f>IF(Project!L$1=$A108,Project!L$46," ")</f>
        <v xml:space="preserve"> </v>
      </c>
      <c r="W108" s="53" t="str">
        <f>IF(Project!L$2=$A108,Project!L$46," ")</f>
        <v xml:space="preserve"> </v>
      </c>
      <c r="Y108" s="53" t="str">
        <f>IF(Homework!C$1=$A108,Homework!C$46," ")</f>
        <v xml:space="preserve"> </v>
      </c>
      <c r="Z108" s="53" t="str">
        <f>IF(Homework!C$2=$A108,Homework!C$46," ")</f>
        <v xml:space="preserve"> </v>
      </c>
      <c r="AA108" s="53" t="str">
        <f>IF(Homework!D$1=$A108,Homework!D$46," ")</f>
        <v xml:space="preserve"> </v>
      </c>
      <c r="AB108" s="53" t="str">
        <f>IF(Homework!D$2=$A108,Homework!D$46," ")</f>
        <v xml:space="preserve"> </v>
      </c>
      <c r="AC108" s="53" t="str">
        <f>IF(Homework!E$1=$A108,Homework!E$46," ")</f>
        <v xml:space="preserve"> </v>
      </c>
      <c r="AD108" s="53" t="str">
        <f>IF(Homework!E$2=$A108,Homework!E$46," ")</f>
        <v xml:space="preserve"> </v>
      </c>
      <c r="AE108" s="53" t="str">
        <f>IF(Homework!F$1=$A108,Homework!F$46," ")</f>
        <v xml:space="preserve"> </v>
      </c>
      <c r="AF108" s="53" t="str">
        <f>IF(Homework!F$2=$A108,Homework!F$46," ")</f>
        <v xml:space="preserve"> </v>
      </c>
      <c r="AG108" s="53" t="str">
        <f>IF(Homework!G$1=$A108,Homework!G$46," ")</f>
        <v xml:space="preserve"> </v>
      </c>
      <c r="AH108" s="53" t="str">
        <f>IF(Homework!G$2=$A108,Homework!G$46," ")</f>
        <v xml:space="preserve"> </v>
      </c>
      <c r="AI108" s="53" t="str">
        <f>IF(Homework!H$1=$A108,Homework!H$46," ")</f>
        <v xml:space="preserve"> </v>
      </c>
      <c r="AJ108" s="53" t="str">
        <f>IF(Homework!H$2=$A108,Homework!H$46," ")</f>
        <v xml:space="preserve"> </v>
      </c>
      <c r="AK108" s="53" t="str">
        <f>IF(Homework!I$1=$A108,Homework!I$46," ")</f>
        <v xml:space="preserve"> </v>
      </c>
      <c r="AL108" s="53" t="str">
        <f>IF(Homework!I$2=$A108,Homework!I$46," ")</f>
        <v xml:space="preserve"> </v>
      </c>
      <c r="AM108" s="53" t="str">
        <f>IF(Homework!J$1=$A108,Homework!J$46," ")</f>
        <v xml:space="preserve"> </v>
      </c>
      <c r="AN108" s="53" t="str">
        <f>IF(Homework!J$2=$A108,Homework!J$46," ")</f>
        <v xml:space="preserve"> </v>
      </c>
      <c r="AO108" s="53" t="str">
        <f>IF(Homework!K$1=$A108,Homework!K$46," ")</f>
        <v xml:space="preserve"> </v>
      </c>
      <c r="AP108" s="53" t="str">
        <f>IF(Homework!K$2=$A108,Homework!K$46," ")</f>
        <v xml:space="preserve"> </v>
      </c>
      <c r="AQ108" s="53" t="str">
        <f>IF(Homework!L$1=$A108,Homework!L$46," ")</f>
        <v xml:space="preserve"> </v>
      </c>
      <c r="AR108" s="53" t="str">
        <f>IF(Homework!L$2=$A108,Homework!L$46," ")</f>
        <v xml:space="preserve"> </v>
      </c>
      <c r="AS108" s="53" t="str">
        <f>IF(Homework!M$1=$A108,Homework!M$46," ")</f>
        <v xml:space="preserve"> </v>
      </c>
      <c r="AT108" s="53" t="str">
        <f>IF(Homework!M$2=$A108,Homework!M$46," ")</f>
        <v xml:space="preserve"> </v>
      </c>
      <c r="AU108" s="53" t="str">
        <f>IF(Homework!N$1=$A108,Homework!N$46," ")</f>
        <v xml:space="preserve"> </v>
      </c>
      <c r="AV108" s="53" t="str">
        <f>IF(Homework!N$2=$A108,Homework!N$46," ")</f>
        <v xml:space="preserve"> </v>
      </c>
      <c r="AW108" s="53" t="str">
        <f>IF(Homework!O$1=$A108,Homework!O$46," ")</f>
        <v xml:space="preserve"> </v>
      </c>
      <c r="AX108" s="53" t="str">
        <f>IF(Homework!O$2=$A108,Homework!O$46," ")</f>
        <v xml:space="preserve"> </v>
      </c>
      <c r="AY108" s="53" t="str">
        <f>IF(Homework!P$1=$A108,Homework!P$46," ")</f>
        <v xml:space="preserve"> </v>
      </c>
      <c r="AZ108" s="53" t="str">
        <f>IF(Homework!P$2=$A108,Homework!P$46," ")</f>
        <v xml:space="preserve"> </v>
      </c>
      <c r="BA108" s="53" t="str">
        <f>IF(Homework!Q$1=$A108,Homework!Q$46," ")</f>
        <v xml:space="preserve"> </v>
      </c>
      <c r="BB108" s="53" t="str">
        <f>IF(Homework!Q$2=$A108,Homework!Q$46," ")</f>
        <v xml:space="preserve"> </v>
      </c>
      <c r="BC108" s="53" t="str">
        <f>IF(Homework!R$1=$A108,Homework!R$46," ")</f>
        <v xml:space="preserve"> </v>
      </c>
      <c r="BD108" s="53" t="str">
        <f>IF(Homework!R$2=$A108,Homework!R$46," ")</f>
        <v xml:space="preserve"> </v>
      </c>
      <c r="BE108" s="53" t="str">
        <f>IF(Homework!S$1=$A108,Homework!S$46," ")</f>
        <v xml:space="preserve"> </v>
      </c>
      <c r="BF108" s="53" t="str">
        <f>IF(Homework!S$2=$A108,Homework!S$46," ")</f>
        <v xml:space="preserve"> </v>
      </c>
      <c r="BG108" s="53" t="str">
        <f>IF(Homework!T$1=$A108,Homework!T$46," ")</f>
        <v xml:space="preserve"> </v>
      </c>
      <c r="BH108" s="53" t="str">
        <f>IF(Homework!T$2=$A108,Homework!T$46," ")</f>
        <v xml:space="preserve"> </v>
      </c>
      <c r="BI108" s="53" t="str">
        <f>IF(Homework!U$1=$A108,Homework!U$46," ")</f>
        <v xml:space="preserve"> </v>
      </c>
      <c r="BJ108" s="53" t="str">
        <f>IF(Homework!U$2=$A108,Homework!U$46," ")</f>
        <v xml:space="preserve"> </v>
      </c>
      <c r="BK108" s="53" t="str">
        <f>IF(Homework!V$1=$A108,Homework!V$46," ")</f>
        <v xml:space="preserve"> </v>
      </c>
      <c r="BL108" s="53" t="str">
        <f>IF(Homework!V$2=$A108,Homework!V$46," ")</f>
        <v xml:space="preserve"> </v>
      </c>
      <c r="BN108" s="66" t="str">
        <f>IF(Laboratory!C$1=$A108,Laboratory!C$46," ")</f>
        <v xml:space="preserve"> </v>
      </c>
      <c r="BO108" s="66" t="str">
        <f>IF(Laboratory!C$2=$A108,Laboratory!C$46," ")</f>
        <v xml:space="preserve"> </v>
      </c>
      <c r="BP108" s="66" t="str">
        <f>IF(Laboratory!D$1=$A108,Laboratory!D$46," ")</f>
        <v xml:space="preserve"> </v>
      </c>
      <c r="BQ108" s="66" t="str">
        <f>IF(Laboratory!D$2=$A108,Laboratory!D$46," ")</f>
        <v xml:space="preserve"> </v>
      </c>
      <c r="BR108" s="66" t="str">
        <f>IF(Laboratory!E$1=$A108,Laboratory!E$46," ")</f>
        <v xml:space="preserve"> </v>
      </c>
      <c r="BS108" s="66" t="str">
        <f>IF(Laboratory!E$2=$A108,Laboratory!E$46," ")</f>
        <v xml:space="preserve"> </v>
      </c>
      <c r="BT108" s="66" t="str">
        <f>IF(Laboratory!F$1=$A108,Laboratory!F$46," ")</f>
        <v xml:space="preserve"> </v>
      </c>
      <c r="BU108" s="66" t="str">
        <f>IF(Laboratory!F$2=$A108,Laboratory!F$46," ")</f>
        <v xml:space="preserve"> </v>
      </c>
      <c r="BV108" s="66" t="str">
        <f>IF(Laboratory!G$1=$A108,Laboratory!G$46," ")</f>
        <v xml:space="preserve"> </v>
      </c>
      <c r="BW108" s="66" t="str">
        <f>IF(Laboratory!G$2=$A108,Laboratory!G$46," ")</f>
        <v xml:space="preserve"> </v>
      </c>
      <c r="BX108" s="66" t="str">
        <f>IF(Laboratory!H$1=$A108,Laboratory!H$46," ")</f>
        <v xml:space="preserve"> </v>
      </c>
      <c r="BY108" s="66" t="str">
        <f>IF(Laboratory!H$2=$A108,Laboratory!H$46," ")</f>
        <v xml:space="preserve"> </v>
      </c>
      <c r="BZ108" s="66"/>
      <c r="CA108" s="66" t="str">
        <f>IF(Laboratory!I$2=$A108,Laboratory!I$46," ")</f>
        <v xml:space="preserve"> </v>
      </c>
      <c r="CB108" s="66"/>
      <c r="CC108" s="66" t="str">
        <f>IF(Laboratory!J$2=$A108,Laboratory!J$46," ")</f>
        <v xml:space="preserve"> </v>
      </c>
      <c r="CD108" s="66" t="str">
        <f>IF(Laboratory!K$1=$A108,Laboratory!K$46," ")</f>
        <v xml:space="preserve"> </v>
      </c>
      <c r="CE108" s="66" t="str">
        <f>IF(Laboratory!K$2=$A108,Laboratory!K$46," ")</f>
        <v xml:space="preserve"> </v>
      </c>
      <c r="CF108" s="66" t="str">
        <f>IF(Laboratory!L$1=$A108,Laboratory!L$46," ")</f>
        <v xml:space="preserve"> </v>
      </c>
      <c r="CG108" s="66" t="str">
        <f>IF(Laboratory!L$2=$A108,Laboratory!L$46," ")</f>
        <v xml:space="preserve"> </v>
      </c>
      <c r="CH108" s="66" t="str">
        <f>IF(Laboratory!M$1=$A108,Laboratory!M$46," ")</f>
        <v xml:space="preserve"> </v>
      </c>
      <c r="CI108" s="66" t="str">
        <f>IF(Laboratory!M$2=$A108,Laboratory!M$46," ")</f>
        <v xml:space="preserve"> </v>
      </c>
      <c r="CJ108" s="66" t="str">
        <f>IF(Laboratory!N$1=$A108,Laboratory!N$46," ")</f>
        <v xml:space="preserve"> </v>
      </c>
      <c r="CK108" s="66" t="str">
        <f>IF(Laboratory!N$2=$A108,Laboratory!N$46," ")</f>
        <v xml:space="preserve"> </v>
      </c>
      <c r="CL108" s="66" t="str">
        <f>IF(Laboratory!O$1=$A108,Laboratory!O$46," ")</f>
        <v xml:space="preserve"> </v>
      </c>
      <c r="CM108" s="66" t="str">
        <f>IF(Laboratory!O$2=$A108,Laboratory!O$46," ")</f>
        <v xml:space="preserve"> </v>
      </c>
      <c r="CN108" s="66" t="str">
        <f>IF(Laboratory!P$1=$A108,Laboratory!P$46," ")</f>
        <v xml:space="preserve"> </v>
      </c>
      <c r="CO108" s="66" t="str">
        <f>IF(Laboratory!P$2=$A108,Laboratory!P$46," ")</f>
        <v xml:space="preserve"> </v>
      </c>
      <c r="CQ108" s="52" t="str">
        <f>IF(Quizzes!C$1=$A108,Quizzes!C$46," ")</f>
        <v xml:space="preserve"> </v>
      </c>
      <c r="CR108" s="52" t="str">
        <f>IF(Quizzes!C$2=$A108,Quizzes!C$46," ")</f>
        <v xml:space="preserve"> </v>
      </c>
      <c r="CS108" s="52" t="str">
        <f>IF(Quizzes!D$1=$A108,Quizzes!D$46," ")</f>
        <v xml:space="preserve"> </v>
      </c>
      <c r="CT108" s="52" t="str">
        <f>IF(Quizzes!D$2=$A108,Quizzes!D$46," ")</f>
        <v xml:space="preserve"> </v>
      </c>
      <c r="CU108" s="52" t="str">
        <f>IF(Quizzes!E$1=$A108,Quizzes!E$46," ")</f>
        <v xml:space="preserve"> </v>
      </c>
      <c r="CV108" s="52" t="str">
        <f>IF(Quizzes!E$2=$A108,Quizzes!E$46," ")</f>
        <v xml:space="preserve"> </v>
      </c>
      <c r="CW108" s="52" t="str">
        <f>IF(Quizzes!F$1=$A108,Quizzes!F$46," ")</f>
        <v xml:space="preserve"> </v>
      </c>
      <c r="CX108" s="52" t="str">
        <f>IF(Quizzes!F$2=$A108,Quizzes!F$46," ")</f>
        <v xml:space="preserve"> </v>
      </c>
      <c r="CY108" s="52" t="str">
        <f>IF(Quizzes!G$1=$A108,Quizzes!G$46," ")</f>
        <v xml:space="preserve"> </v>
      </c>
      <c r="CZ108" s="52" t="str">
        <f>IF(Quizzes!G$2=$A108,Quizzes!G$46," ")</f>
        <v xml:space="preserve"> </v>
      </c>
      <c r="DA108" s="52" t="str">
        <f>IF(Quizzes!H$1=$A108,Quizzes!H$46," ")</f>
        <v xml:space="preserve"> </v>
      </c>
      <c r="DB108" s="52" t="str">
        <f>IF(Quizzes!H$2=$A108,Quizzes!H$46," ")</f>
        <v xml:space="preserve"> </v>
      </c>
      <c r="DC108" s="52" t="str">
        <f>IF(Quizzes!I$1=$A108,Quizzes!I$46," ")</f>
        <v xml:space="preserve"> </v>
      </c>
      <c r="DD108" s="52" t="str">
        <f>IF(Quizzes!I$2=$A108,Quizzes!I$46," ")</f>
        <v xml:space="preserve"> </v>
      </c>
      <c r="DE108" s="52" t="str">
        <f>IF(Quizzes!J$1=$A108,Quizzes!J$46," ")</f>
        <v xml:space="preserve"> </v>
      </c>
      <c r="DF108" s="52" t="str">
        <f>IF(Quizzes!J$2=$A108,Quizzes!J$46," ")</f>
        <v xml:space="preserve"> </v>
      </c>
      <c r="DG108" s="52" t="str">
        <f>IF(Quizzes!K$1=$A108,Quizzes!K$46," ")</f>
        <v xml:space="preserve"> </v>
      </c>
      <c r="DH108" s="52" t="str">
        <f>IF(Quizzes!K$2=$A108,Quizzes!K$46," ")</f>
        <v xml:space="preserve"> </v>
      </c>
      <c r="DI108" s="52" t="str">
        <f>IF(Quizzes!L$1=$A108,Quizzes!L$46," ")</f>
        <v xml:space="preserve"> </v>
      </c>
      <c r="DJ108" s="52" t="str">
        <f>IF(Quizzes!L$2=$A108,Quizzes!L$46," ")</f>
        <v xml:space="preserve"> </v>
      </c>
      <c r="DK108" s="52" t="str">
        <f>IF(Quizzes!M$1=$A108,Quizzes!M$46," ")</f>
        <v xml:space="preserve"> </v>
      </c>
      <c r="DL108" s="52" t="str">
        <f>IF(Quizzes!M$2=$A108,Quizzes!M$46," ")</f>
        <v xml:space="preserve"> </v>
      </c>
      <c r="DM108" s="52" t="str">
        <f>IF(Quizzes!N$1=$A108,Quizzes!N$46," ")</f>
        <v xml:space="preserve"> </v>
      </c>
      <c r="DN108" s="52" t="str">
        <f>IF(Quizzes!N$2=$A108,Quizzes!N$46," ")</f>
        <v xml:space="preserve"> </v>
      </c>
      <c r="DO108" s="52" t="str">
        <f>IF(Quizzes!O$1=$A108,Quizzes!O$46," ")</f>
        <v xml:space="preserve"> </v>
      </c>
      <c r="DP108" s="52" t="str">
        <f>IF(Quizzes!O$2=$A108,Quizzes!O$46," ")</f>
        <v xml:space="preserve"> </v>
      </c>
      <c r="DQ108" s="52" t="str">
        <f>IF(Quizzes!P$1=$A108,Quizzes!P$46," ")</f>
        <v xml:space="preserve"> </v>
      </c>
      <c r="DR108" s="52" t="str">
        <f>IF(Quizzes!P$2=$A108,Quizzes!P$46," ")</f>
        <v xml:space="preserve"> </v>
      </c>
      <c r="DS108" s="52" t="str">
        <f>IF(Quizzes!Q$1=$A108,Quizzes!Q$46," ")</f>
        <v xml:space="preserve"> </v>
      </c>
      <c r="DT108" s="52" t="str">
        <f>IF(Quizzes!Q$1=$A108,Quizzes!Q$46," ")</f>
        <v xml:space="preserve"> </v>
      </c>
      <c r="DV108" s="25" t="str">
        <f>IF('Midterm 1'!C$1=$A108,'Midterm 1'!C$47," ")</f>
        <v xml:space="preserve"> </v>
      </c>
      <c r="DW108" s="25" t="str">
        <f>IF('Midterm 1'!C$2=$A108,'Midterm 1'!C$47," ")</f>
        <v xml:space="preserve"> </v>
      </c>
      <c r="DX108" s="25" t="str">
        <f>IF('Midterm 1'!D$1=$A108,'Midterm 1'!D$47," ")</f>
        <v xml:space="preserve"> </v>
      </c>
      <c r="DY108" s="25" t="str">
        <f>IF('Midterm 1'!D$2=$A108,'Midterm 1'!D$47," ")</f>
        <v xml:space="preserve"> </v>
      </c>
      <c r="DZ108" s="25" t="str">
        <f>IF('Midterm 1'!E$1=$A108,'Midterm 1'!E$47," ")</f>
        <v xml:space="preserve"> </v>
      </c>
      <c r="EA108" s="25" t="str">
        <f>IF('Midterm 1'!E$2=$A108,'Midterm 1'!E$47," ")</f>
        <v xml:space="preserve"> </v>
      </c>
      <c r="EB108" s="25" t="str">
        <f>IF('Midterm 1'!F$1=$A108,'Midterm 1'!F$47," ")</f>
        <v xml:space="preserve"> </v>
      </c>
      <c r="EC108" s="25" t="str">
        <f>IF('Midterm 1'!F$2=$A108,'Midterm 1'!F$47," ")</f>
        <v xml:space="preserve"> </v>
      </c>
      <c r="ED108" s="25" t="str">
        <f>IF('Midterm 1'!G$1=$A108,'Midterm 1'!G$47," ")</f>
        <v xml:space="preserve"> </v>
      </c>
      <c r="EE108" s="25" t="str">
        <f>IF('Midterm 1'!G$2=$A108,'Midterm 1'!G$47," ")</f>
        <v xml:space="preserve"> </v>
      </c>
      <c r="EF108" s="25" t="str">
        <f>IF('Midterm 1'!H$1=$A108,'Midterm 1'!I$47," ")</f>
        <v xml:space="preserve"> </v>
      </c>
      <c r="EG108" s="25" t="str">
        <f>IF('Midterm 1'!H$2=$A108,'Midterm 1'!H$47," ")</f>
        <v xml:space="preserve"> </v>
      </c>
      <c r="EH108" s="25" t="str">
        <f>IF('Midterm 1'!I$1=$A108,'Midterm 1'!I$47," ")</f>
        <v xml:space="preserve"> </v>
      </c>
      <c r="EI108" s="25" t="str">
        <f>IF('Midterm 1'!I$2=$A108,'Midterm 1'!I$47," ")</f>
        <v xml:space="preserve"> </v>
      </c>
      <c r="EJ108" s="25" t="str">
        <f>IF('Midterm 1'!J$1=$A108,'Midterm 1'!J$47," ")</f>
        <v xml:space="preserve"> </v>
      </c>
      <c r="EK108" s="25" t="str">
        <f>IF('Midterm 1'!J$2=$A108,'Midterm 1'!J$47," ")</f>
        <v xml:space="preserve"> </v>
      </c>
      <c r="EL108" s="25" t="str">
        <f>IF('Midterm 1'!K$1=$A108,'Midterm 1'!K$47," ")</f>
        <v xml:space="preserve"> </v>
      </c>
      <c r="EM108" s="25" t="str">
        <f>IF('Midterm 1'!K$2=$A108,'Midterm 1'!K$47," ")</f>
        <v xml:space="preserve"> </v>
      </c>
      <c r="EN108" s="25" t="str">
        <f>IF('Midterm 1'!L$1=$A108,'Midterm 1'!L$47," ")</f>
        <v xml:space="preserve"> </v>
      </c>
      <c r="EO108" s="25" t="str">
        <f>IF('Midterm 1'!L$2=$A108,'Midterm 1'!L$47," ")</f>
        <v xml:space="preserve"> </v>
      </c>
      <c r="EP108" s="25" t="str">
        <f>IF('Midterm 1'!M$1=$A108,'Midterm 1'!M$47," ")</f>
        <v xml:space="preserve"> </v>
      </c>
      <c r="EQ108" s="25" t="str">
        <f>IF('Midterm 1'!M$2=$A108,'Midterm 1'!M$47," ")</f>
        <v xml:space="preserve"> </v>
      </c>
      <c r="ER108" s="25" t="str">
        <f>IF('Midterm 1'!N$1=$A108,'Midterm 1'!N$47," ")</f>
        <v xml:space="preserve"> </v>
      </c>
      <c r="ES108" s="25" t="str">
        <f>IF('Midterm 1'!N$2=$A108,'Midterm 1'!N$47," ")</f>
        <v xml:space="preserve"> </v>
      </c>
      <c r="ET108" s="25" t="str">
        <f>IF('Midterm 1'!O$1=$A108,'Midterm 1'!O$47," ")</f>
        <v xml:space="preserve"> </v>
      </c>
      <c r="EU108" s="25" t="str">
        <f>IF('Midterm 1'!O$2=$A108,'Midterm 1'!O$47," ")</f>
        <v xml:space="preserve"> </v>
      </c>
      <c r="EV108" s="25" t="str">
        <f>IF('Midterm 1'!P$1=$A108,'Midterm 1'!P$47," ")</f>
        <v xml:space="preserve"> </v>
      </c>
      <c r="EW108" s="25" t="str">
        <f>IF('Midterm 1'!P$2=$A108,'Midterm 1'!P$47," ")</f>
        <v xml:space="preserve"> </v>
      </c>
      <c r="EX108" s="25" t="str">
        <f>IF('Midterm 1'!Q$1=$A108,'Midterm 1'!Q$47," ")</f>
        <v xml:space="preserve"> </v>
      </c>
      <c r="EY108" s="25" t="str">
        <f>IF('Midterm 1'!Q$2=$A108,'Midterm 1'!Q$47," ")</f>
        <v xml:space="preserve"> </v>
      </c>
      <c r="EZ108" s="25" t="str">
        <f>IF('Midterm 1'!R$1=$A108,'Midterm 1'!R$47," ")</f>
        <v xml:space="preserve"> </v>
      </c>
      <c r="FA108" s="25" t="str">
        <f>IF('Midterm 1'!R$2=$A108,'Midterm 1'!R$47," ")</f>
        <v xml:space="preserve"> </v>
      </c>
      <c r="FB108" s="25" t="str">
        <f>IF('Midterm 1'!S$1=$A108,'Midterm 1'!S$47," ")</f>
        <v xml:space="preserve"> </v>
      </c>
      <c r="FC108" s="25" t="str">
        <f>IF('Midterm 1'!S$2=$A108,'Midterm 1'!S$47," ")</f>
        <v xml:space="preserve"> </v>
      </c>
      <c r="FD108" s="25" t="str">
        <f>IF('Midterm 1'!T$1=$A108,'Midterm 1'!T$47," ")</f>
        <v xml:space="preserve"> </v>
      </c>
      <c r="FE108" s="25" t="str">
        <f>IF('Midterm 1'!T$2=$A108,'Midterm 1'!T$47," ")</f>
        <v xml:space="preserve"> </v>
      </c>
      <c r="FF108" s="25" t="str">
        <f>IF('Midterm 1'!U$1=$A108,'Midterm 1'!U$47," ")</f>
        <v xml:space="preserve"> </v>
      </c>
      <c r="FG108" s="25" t="str">
        <f>IF('Midterm 1'!U$2=$A108,'Midterm 1'!U$47," ")</f>
        <v xml:space="preserve"> </v>
      </c>
      <c r="FH108" s="25" t="str">
        <f>IF('Midterm 1'!V$1=$A108,'Midterm 1'!V$47," ")</f>
        <v xml:space="preserve"> </v>
      </c>
      <c r="FI108" s="25" t="str">
        <f>IF('Midterm 1'!V$2=$A108,'Midterm 1'!V$47," ")</f>
        <v xml:space="preserve"> </v>
      </c>
      <c r="FJ108" s="25" t="str">
        <f>IF('Midterm 1'!W$1=$A108,'Midterm 1'!W$47," ")</f>
        <v xml:space="preserve"> </v>
      </c>
      <c r="FK108" s="25" t="str">
        <f>IF('Midterm 1'!W$2=$A108,'Midterm 1'!W$47," ")</f>
        <v xml:space="preserve"> </v>
      </c>
      <c r="FL108" s="25" t="str">
        <f>IF('Midterm 1'!X$1=$A108,'Midterm 1'!X$47," ")</f>
        <v xml:space="preserve"> </v>
      </c>
      <c r="FM108" s="25" t="str">
        <f>IF('Midterm 1'!X$2=$A108,'Midterm 1'!X$47," ")</f>
        <v xml:space="preserve"> </v>
      </c>
      <c r="FN108" s="25" t="str">
        <f>IF('Midterm 1'!Y$1=$A108,'Midterm 1'!Y$47," ")</f>
        <v xml:space="preserve"> </v>
      </c>
      <c r="FO108" s="25" t="str">
        <f>IF('Midterm 1'!Y$2=$A108,'Midterm 1'!Y$47," ")</f>
        <v xml:space="preserve"> </v>
      </c>
      <c r="FP108" s="25" t="str">
        <f>IF('Midterm 1'!Z$1=$A108,'Midterm 1'!Z$47," ")</f>
        <v xml:space="preserve"> </v>
      </c>
      <c r="FQ108" s="25" t="str">
        <f>IF('Midterm 1'!Z$2=$A108,'Midterm 1'!Z$47," ")</f>
        <v xml:space="preserve"> </v>
      </c>
      <c r="FR108" s="25" t="str">
        <f>IF('Midterm 1'!AA$1=$A108,'Midterm 1'!AA$47," ")</f>
        <v xml:space="preserve"> </v>
      </c>
      <c r="FS108" s="25" t="str">
        <f>IF('Midterm 1'!AA$2=$A108,'Midterm 1'!AA$47," ")</f>
        <v xml:space="preserve"> </v>
      </c>
      <c r="FT108" s="25" t="str">
        <f>IF('Midterm 1'!AB$1=$A108,'Midterm 1'!AB$47," ")</f>
        <v xml:space="preserve"> </v>
      </c>
      <c r="FU108" s="25" t="str">
        <f>IF('Midterm 1'!AB$2=$A108,'Midterm 1'!AB$47," ")</f>
        <v xml:space="preserve"> </v>
      </c>
      <c r="FV108" s="25" t="str">
        <f>IF('Midterm 1'!AC$1=$A108,'Midterm 1'!AC$47," ")</f>
        <v xml:space="preserve"> </v>
      </c>
      <c r="FW108" s="25" t="str">
        <f>IF('Midterm 1'!AC$2=$A108,'Midterm 1'!AC$47," ")</f>
        <v xml:space="preserve"> </v>
      </c>
      <c r="FX108" s="25" t="str">
        <f>IF('Midterm 1'!AD$1=$A108,'Midterm 1'!AD$47," ")</f>
        <v xml:space="preserve"> </v>
      </c>
      <c r="FY108" s="25" t="str">
        <f>IF('Midterm 1'!AD$2=$A108,'Midterm 1'!AD$47," ")</f>
        <v xml:space="preserve"> </v>
      </c>
      <c r="FZ108" s="25" t="str">
        <f>IF('Midterm 1'!AE$1=$A108,'Midterm 1'!AE$47," ")</f>
        <v xml:space="preserve"> </v>
      </c>
      <c r="GA108" s="25" t="str">
        <f>IF('Midterm 1'!AE$2=$A108,'Midterm 1'!AE$47," ")</f>
        <v xml:space="preserve"> </v>
      </c>
      <c r="GB108" s="25" t="str">
        <f>IF('Midterm 1'!AF$1=$A108,'Midterm 1'!AF$47," ")</f>
        <v xml:space="preserve"> </v>
      </c>
      <c r="GC108" s="25" t="str">
        <f>IF('Midterm 1'!AF$2=$A108,'Midterm 1'!AF$47," ")</f>
        <v xml:space="preserve"> </v>
      </c>
      <c r="GE108" s="25" t="str">
        <f>IF('Midterm 2'!C$1=$A108,'Midterm 2'!C$47," ")</f>
        <v xml:space="preserve"> </v>
      </c>
      <c r="GF108" s="25" t="str">
        <f>IF('Midterm 2'!C$2=$A108,'Midterm 2'!C$47," ")</f>
        <v xml:space="preserve"> </v>
      </c>
      <c r="GG108" s="25" t="str">
        <f>IF('Midterm 2'!D$1=$A108,'Midterm 2'!D$47," ")</f>
        <v xml:space="preserve"> </v>
      </c>
      <c r="GH108" s="25" t="str">
        <f>IF('Midterm 2'!D$2=$A108,'Midterm 2'!D$47," ")</f>
        <v xml:space="preserve"> </v>
      </c>
      <c r="GI108" s="25" t="str">
        <f>IF('Midterm 2'!E$1=$A108,'Midterm 2'!E$47," ")</f>
        <v xml:space="preserve"> </v>
      </c>
      <c r="GJ108" s="25" t="str">
        <f>IF('Midterm 2'!E$2=$A108,'Midterm 2'!E$47," ")</f>
        <v xml:space="preserve"> </v>
      </c>
      <c r="GK108" s="25" t="str">
        <f>IF('Midterm 2'!F$1=$A108,'Midterm 2'!F$47," ")</f>
        <v xml:space="preserve"> </v>
      </c>
      <c r="GL108" s="25" t="str">
        <f>IF('Midterm 2'!F$2=$A108,'Midterm 2'!F$47," ")</f>
        <v xml:space="preserve"> </v>
      </c>
      <c r="GM108" s="25" t="str">
        <f>IF('Midterm 2'!G$1=$A108,'Midterm 2'!G$47," ")</f>
        <v xml:space="preserve"> </v>
      </c>
      <c r="GN108" s="25" t="str">
        <f>IF('Midterm 2'!G$2=$A108,'Midterm 2'!G$47," ")</f>
        <v xml:space="preserve"> </v>
      </c>
      <c r="GO108" s="25" t="str">
        <f>IF('Midterm 2'!H$1=$A108,'Midterm 2'!H$47," ")</f>
        <v xml:space="preserve"> </v>
      </c>
      <c r="GP108" s="25" t="str">
        <f>IF('Midterm 2'!H$2=$A108,'Midterm 2'!H$47," ")</f>
        <v xml:space="preserve"> </v>
      </c>
      <c r="GQ108" s="25" t="str">
        <f>IF('Midterm 2'!I$1=$A108,'Midterm 2'!I$47," ")</f>
        <v xml:space="preserve"> </v>
      </c>
      <c r="GR108" s="25" t="str">
        <f>IF('Midterm 2'!I$2=$A108,'Midterm 2'!I$47," ")</f>
        <v xml:space="preserve"> </v>
      </c>
      <c r="GS108" s="25" t="str">
        <f>IF('Midterm 2'!J$1=$A108,'Midterm 2'!J$47," ")</f>
        <v xml:space="preserve"> </v>
      </c>
      <c r="GT108" s="25" t="str">
        <f>IF('Midterm 2'!J$2=$A108,'Midterm 2'!J$47," ")</f>
        <v xml:space="preserve"> </v>
      </c>
      <c r="GU108" s="25" t="str">
        <f>IF('Midterm 2'!K$1=$A108,'Midterm 2'!K$47," ")</f>
        <v xml:space="preserve"> </v>
      </c>
      <c r="GV108" s="25" t="str">
        <f>IF('Midterm 2'!K$2=$A108,'Midterm 2'!K$47," ")</f>
        <v xml:space="preserve"> </v>
      </c>
      <c r="GW108" s="25" t="str">
        <f>IF('Midterm 2'!L$1=$A108,'Midterm 2'!L$47," ")</f>
        <v xml:space="preserve"> </v>
      </c>
      <c r="GX108" s="25" t="str">
        <f>IF('Midterm 2'!L$2=$A108,'Midterm 2'!L$47," ")</f>
        <v xml:space="preserve"> </v>
      </c>
      <c r="GY108" s="25" t="str">
        <f>IF('Midterm 2'!M$1=$A108,'Midterm 2'!M$47," ")</f>
        <v xml:space="preserve"> </v>
      </c>
      <c r="GZ108" s="25" t="str">
        <f>IF('Midterm 2'!M$2=$A108,'Midterm 2'!M$47," ")</f>
        <v xml:space="preserve"> </v>
      </c>
      <c r="HA108" s="25" t="str">
        <f>IF('Midterm 2'!N$1=$A108,'Midterm 2'!N$47," ")</f>
        <v xml:space="preserve"> </v>
      </c>
      <c r="HB108" s="25" t="str">
        <f>IF('Midterm 2'!N$2=$A108,'Midterm 2'!N$47," ")</f>
        <v xml:space="preserve"> </v>
      </c>
      <c r="HC108" s="25" t="str">
        <f>IF('Midterm 2'!O$1=$A108,'Midterm 2'!O$47," ")</f>
        <v xml:space="preserve"> </v>
      </c>
      <c r="HD108" s="25" t="str">
        <f>IF('Midterm 2'!O$2=$A108,'Midterm 2'!O$47," ")</f>
        <v xml:space="preserve"> </v>
      </c>
      <c r="HE108" s="25" t="str">
        <f>IF('Midterm 2'!P$1=$A108,'Midterm 2'!P$47," ")</f>
        <v xml:space="preserve"> </v>
      </c>
      <c r="HF108" s="25" t="str">
        <f>IF('Midterm 2'!P$2=$A108,'Midterm 2'!P$47," ")</f>
        <v xml:space="preserve"> </v>
      </c>
      <c r="HG108" s="25" t="str">
        <f>IF('Midterm 2'!Q$1=$A108,'Midterm 2'!Q$47," ")</f>
        <v xml:space="preserve"> </v>
      </c>
      <c r="HH108" s="25" t="str">
        <f>IF('Midterm 2'!Q$2=$A108,'Midterm 2'!Q$47," ")</f>
        <v xml:space="preserve"> </v>
      </c>
      <c r="HI108" s="25" t="str">
        <f>IF('Midterm 2'!R$1=$A108,'Midterm 2'!R$47," ")</f>
        <v xml:space="preserve"> </v>
      </c>
      <c r="HJ108" s="25" t="str">
        <f>IF('Midterm 2'!R$2=$A108,'Midterm 2'!R$47," ")</f>
        <v xml:space="preserve"> </v>
      </c>
      <c r="HK108" s="25" t="str">
        <f>IF('Midterm 2'!S$1=$A108,'Midterm 2'!S$47," ")</f>
        <v xml:space="preserve"> </v>
      </c>
      <c r="HL108" s="25" t="str">
        <f>IF('Midterm 2'!S$2=$A108,'Midterm 2'!S$47," ")</f>
        <v xml:space="preserve"> </v>
      </c>
      <c r="HM108" s="25" t="str">
        <f>IF('Midterm 2'!T$1=$A108,'Midterm 2'!T$47," ")</f>
        <v xml:space="preserve"> </v>
      </c>
      <c r="HN108" s="25" t="str">
        <f>IF('Midterm 2'!T$2=$A108,'Midterm 2'!T$47," ")</f>
        <v xml:space="preserve"> </v>
      </c>
      <c r="HO108" s="25" t="str">
        <f>IF('Midterm 2'!U$1=$A108,'Midterm 2'!U$47," ")</f>
        <v xml:space="preserve"> </v>
      </c>
      <c r="HP108" s="25" t="str">
        <f>IF('Midterm 2'!U$2=$A108,'Midterm 2'!U$47," ")</f>
        <v xml:space="preserve"> </v>
      </c>
      <c r="HQ108" s="25" t="str">
        <f>IF('Midterm 2'!V$1=$A108,'Midterm 2'!V$47," ")</f>
        <v xml:space="preserve"> </v>
      </c>
      <c r="HR108" s="25" t="str">
        <f>IF('Midterm 2'!V$2=$A108,'Midterm 2'!V$47," ")</f>
        <v xml:space="preserve"> </v>
      </c>
      <c r="HS108" s="25" t="str">
        <f>IF('Midterm 2'!W$1=$A108,'Midterm 2'!W$47," ")</f>
        <v xml:space="preserve"> </v>
      </c>
      <c r="HT108" s="25" t="str">
        <f>IF('Midterm 2'!W$2=$A108,'Midterm 2'!W$47," ")</f>
        <v xml:space="preserve"> </v>
      </c>
      <c r="HU108" s="25" t="str">
        <f>IF('Midterm 2'!X$1=$A108,'Midterm 2'!X$47," ")</f>
        <v xml:space="preserve"> </v>
      </c>
      <c r="HV108" s="25" t="str">
        <f>IF('Midterm 2'!X$2=$A108,'Midterm 2'!X$47," ")</f>
        <v xml:space="preserve"> </v>
      </c>
      <c r="HW108" s="25" t="str">
        <f>IF('Midterm 2'!Y$1=$A108,'Midterm 2'!Y$47," ")</f>
        <v xml:space="preserve"> </v>
      </c>
      <c r="HX108" s="25" t="str">
        <f>IF('Midterm 2'!Y$2=$A108,'Midterm 2'!Y$47," ")</f>
        <v xml:space="preserve"> </v>
      </c>
      <c r="HY108" s="25" t="str">
        <f>IF('Midterm 2'!Z$1=$A108,'Midterm 2'!Z$47," ")</f>
        <v xml:space="preserve"> </v>
      </c>
      <c r="HZ108" s="25" t="str">
        <f>IF('Midterm 2'!Z$2=$A108,'Midterm 2'!Z$47," ")</f>
        <v xml:space="preserve"> </v>
      </c>
      <c r="IA108" s="25" t="str">
        <f>IF('Midterm 2'!AA$1=$A108,'Midterm 2'!AA$47," ")</f>
        <v xml:space="preserve"> </v>
      </c>
      <c r="IB108" s="25" t="str">
        <f>IF('Midterm 2'!AA$2=$A108,'Midterm 2'!AA$47," ")</f>
        <v xml:space="preserve"> </v>
      </c>
      <c r="IC108" s="25" t="str">
        <f>IF('Midterm 2'!AB$1=$A108,'Midterm 2'!AB$47," ")</f>
        <v xml:space="preserve"> </v>
      </c>
      <c r="ID108" s="25" t="str">
        <f>IF('Midterm 2'!AB$2=$A108,'Midterm 2'!AB$47," ")</f>
        <v xml:space="preserve"> </v>
      </c>
      <c r="IE108" s="25" t="str">
        <f>IF('Midterm 2'!AC$1=$A108,'Midterm 2'!AC$47," ")</f>
        <v xml:space="preserve"> </v>
      </c>
      <c r="IF108" s="25" t="str">
        <f>IF('Midterm 2'!AC$2=$A108,'Midterm 2'!AC$47," ")</f>
        <v xml:space="preserve"> </v>
      </c>
      <c r="IG108" s="25" t="str">
        <f>IF('Midterm 2'!AD$1=$A108,'Midterm 2'!AD$47," ")</f>
        <v xml:space="preserve"> </v>
      </c>
      <c r="IH108" s="25" t="str">
        <f>IF('Midterm 2'!AD$2=$A108,'Midterm 2'!AD$47," ")</f>
        <v xml:space="preserve"> </v>
      </c>
      <c r="II108" s="25" t="str">
        <f>IF('Midterm 2'!AE$1=$A108,'Midterm 2'!AE$47," ")</f>
        <v xml:space="preserve"> </v>
      </c>
      <c r="IJ108" s="25" t="str">
        <f>IF('Midterm 2'!AE$2=$A108,'Midterm 2'!AE$47," ")</f>
        <v xml:space="preserve"> </v>
      </c>
      <c r="IK108" s="25" t="str">
        <f>IF('Midterm 2'!AF$1=$A108,'Midterm 2'!AF$47," ")</f>
        <v xml:space="preserve"> </v>
      </c>
      <c r="IL108" s="25" t="str">
        <f>IF('Midterm 2'!AF$2=$A108,'Midterm 2'!AF$47," ")</f>
        <v xml:space="preserve"> </v>
      </c>
      <c r="IM108" s="25" t="str">
        <f>IF('Midterm 2'!AG$1=$A108,'Midterm 2'!AG$47," ")</f>
        <v xml:space="preserve"> </v>
      </c>
      <c r="IN108" s="25" t="str">
        <f>IF('Midterm 2'!AG$2=$A108,'Midterm 2'!AG$47," ")</f>
        <v xml:space="preserve"> </v>
      </c>
      <c r="IO108" s="25" t="str">
        <f>IF('Midterm 2'!AH$1=$A108,'Midterm 2'!AH$47," ")</f>
        <v xml:space="preserve"> </v>
      </c>
      <c r="IP108" s="25" t="str">
        <f>IF('Midterm 2'!AH$2=$A108,'Midterm 2'!AF$47," ")</f>
        <v xml:space="preserve"> </v>
      </c>
      <c r="IR108" s="54" t="str">
        <f>IF('Final Exam'!C$1=$A108,'Final Exam'!C$46," ")</f>
        <v xml:space="preserve"> </v>
      </c>
      <c r="IS108" s="54" t="str">
        <f>IF('Final Exam'!C$2=$A108,'Final Exam'!C$46," ")</f>
        <v xml:space="preserve"> </v>
      </c>
      <c r="IT108" s="54" t="str">
        <f>IF('Final Exam'!D$1=$A108,'Final Exam'!D$46," ")</f>
        <v xml:space="preserve"> </v>
      </c>
      <c r="IU108" s="54" t="str">
        <f>IF('Final Exam'!D$2=$A108,'Final Exam'!D$46," ")</f>
        <v xml:space="preserve"> </v>
      </c>
      <c r="IV108" s="54" t="str">
        <f>IF('Final Exam'!E$1=$A108,'Final Exam'!E$46," ")</f>
        <v xml:space="preserve"> </v>
      </c>
      <c r="IW108" s="54" t="str">
        <f>IF('Final Exam'!E$2=$A108,'Final Exam'!E$46," ")</f>
        <v xml:space="preserve"> </v>
      </c>
      <c r="IX108" s="54" t="str">
        <f>IF('Final Exam'!F$1=$A108,'Final Exam'!F$46," ")</f>
        <v xml:space="preserve"> </v>
      </c>
      <c r="IY108" s="54" t="str">
        <f>IF('Final Exam'!F$2=$A108,'Final Exam'!F$46," ")</f>
        <v xml:space="preserve"> </v>
      </c>
      <c r="IZ108" s="54" t="str">
        <f>IF('Final Exam'!G$1=$A108,'Final Exam'!G$46," ")</f>
        <v xml:space="preserve"> </v>
      </c>
      <c r="JA108" s="54" t="str">
        <f>IF('Final Exam'!G$2=$A108,'Final Exam'!G$46," ")</f>
        <v xml:space="preserve"> </v>
      </c>
      <c r="JB108" s="54" t="str">
        <f>IF('Final Exam'!H$1=$A108,'Final Exam'!G$46," ")</f>
        <v xml:space="preserve"> </v>
      </c>
      <c r="JC108" s="54" t="str">
        <f>IF('Final Exam'!H$2=$A108,'Final Exam'!H$46," ")</f>
        <v xml:space="preserve"> </v>
      </c>
      <c r="JD108" s="54" t="str">
        <f>IF('Final Exam'!I$1=$A108,'Final Exam'!I$46," ")</f>
        <v xml:space="preserve"> </v>
      </c>
      <c r="JE108" s="54" t="str">
        <f>IF('Final Exam'!I$2=$A108,'Final Exam'!I$46," ")</f>
        <v xml:space="preserve"> </v>
      </c>
      <c r="JF108" s="54" t="str">
        <f>IF('Final Exam'!J$1=$A108,'Final Exam'!J$46," ")</f>
        <v xml:space="preserve"> </v>
      </c>
      <c r="JG108" s="54" t="str">
        <f>IF('Final Exam'!J$2=$A108,'Final Exam'!J$46," ")</f>
        <v xml:space="preserve"> </v>
      </c>
      <c r="JH108" s="54" t="str">
        <f>IF('Final Exam'!K$1=$A108,'Final Exam'!K$46," ")</f>
        <v xml:space="preserve"> </v>
      </c>
      <c r="JI108" s="54" t="str">
        <f>IF('Final Exam'!K$2=$A108,'Final Exam'!K$46," ")</f>
        <v xml:space="preserve"> </v>
      </c>
      <c r="JJ108" s="54" t="str">
        <f>IF('Final Exam'!L$1=$A108,'Final Exam'!L$46," ")</f>
        <v xml:space="preserve"> </v>
      </c>
      <c r="JK108" s="54" t="str">
        <f>IF('Final Exam'!L$2=$A108,'Final Exam'!L$46," ")</f>
        <v xml:space="preserve"> </v>
      </c>
      <c r="JL108" s="54" t="str">
        <f>IF('Final Exam'!M$1=$A108,'Final Exam'!M$46," ")</f>
        <v xml:space="preserve"> </v>
      </c>
      <c r="JM108" s="54" t="str">
        <f>IF('Final Exam'!M$2=$A108,'Final Exam'!M$46," ")</f>
        <v xml:space="preserve"> </v>
      </c>
      <c r="JN108" s="54" t="str">
        <f>IF('Final Exam'!N$1=$A108,'Final Exam'!N$46," ")</f>
        <v xml:space="preserve"> </v>
      </c>
      <c r="JO108" s="54" t="str">
        <f>IF('Final Exam'!N$2=$A108,'Final Exam'!N$46," ")</f>
        <v xml:space="preserve"> </v>
      </c>
      <c r="JP108" s="54" t="str">
        <f>IF('Final Exam'!O$1=$A108,'Final Exam'!O$46," ")</f>
        <v xml:space="preserve"> </v>
      </c>
      <c r="JQ108" s="54" t="str">
        <f>IF('Final Exam'!O$2=$A108,'Final Exam'!O$46," ")</f>
        <v xml:space="preserve"> </v>
      </c>
      <c r="JR108" s="54" t="str">
        <f>IF('Final Exam'!P$1=$A108,'Final Exam'!P$46," ")</f>
        <v xml:space="preserve"> </v>
      </c>
      <c r="JS108" s="54" t="str">
        <f>IF('Final Exam'!P$2=$A108,'Final Exam'!P$46," ")</f>
        <v xml:space="preserve"> </v>
      </c>
      <c r="JT108" s="54" t="str">
        <f>IF('Final Exam'!Q$1=$A108,'Final Exam'!Q$46," ")</f>
        <v xml:space="preserve"> </v>
      </c>
      <c r="JU108" s="54" t="str">
        <f>IF('Final Exam'!Q$2=$A108,'Final Exam'!Q$46," ")</f>
        <v xml:space="preserve"> </v>
      </c>
      <c r="JV108" s="54" t="str">
        <f>IF('Final Exam'!R$1=$A108,'Final Exam'!R$46," ")</f>
        <v xml:space="preserve"> </v>
      </c>
      <c r="JW108" s="54" t="str">
        <f>IF('Final Exam'!R$2=$A108,'Final Exam'!R$46," ")</f>
        <v xml:space="preserve"> </v>
      </c>
      <c r="JX108" s="54" t="str">
        <f>IF('Final Exam'!S$1=$A108,'Final Exam'!S$46," ")</f>
        <v xml:space="preserve"> </v>
      </c>
      <c r="JY108" s="54" t="str">
        <f>IF('Final Exam'!S$2=$A108,'Final Exam'!S$46," ")</f>
        <v xml:space="preserve"> </v>
      </c>
      <c r="JZ108" s="54" t="str">
        <f>IF('Final Exam'!T$1=$A108,'Final Exam'!T$46," ")</f>
        <v xml:space="preserve"> </v>
      </c>
      <c r="KA108" s="54" t="str">
        <f>IF('Final Exam'!T$2=$A108,'Final Exam'!T$46," ")</f>
        <v xml:space="preserve"> </v>
      </c>
      <c r="KB108" s="54" t="str">
        <f>IF('Final Exam'!U$1=$A108,'Final Exam'!U$46," ")</f>
        <v xml:space="preserve"> </v>
      </c>
      <c r="KC108" s="54" t="str">
        <f>IF('Final Exam'!U$2=$A108,'Final Exam'!U$46," ")</f>
        <v xml:space="preserve"> </v>
      </c>
      <c r="KD108" s="54" t="str">
        <f>IF('Final Exam'!V$1=$A108,'Final Exam'!V$46," ")</f>
        <v xml:space="preserve"> </v>
      </c>
      <c r="KE108" s="54" t="str">
        <f>IF('Final Exam'!V$2=$A108,'Final Exam'!V$46," ")</f>
        <v xml:space="preserve"> </v>
      </c>
      <c r="KF108" s="54" t="str">
        <f>IF('Final Exam'!W$1=$A108,'Final Exam'!W$46," ")</f>
        <v xml:space="preserve"> </v>
      </c>
      <c r="KG108" s="54" t="str">
        <f>IF('Final Exam'!W$2=$A108,'Final Exam'!W$46," ")</f>
        <v xml:space="preserve"> </v>
      </c>
      <c r="KH108" s="54" t="str">
        <f>IF('Final Exam'!X$1=$A108,'Final Exam'!X$46," ")</f>
        <v xml:space="preserve"> </v>
      </c>
      <c r="KI108" s="54" t="str">
        <f>IF('Final Exam'!X$2=$A108,'Final Exam'!X$46," ")</f>
        <v xml:space="preserve"> </v>
      </c>
      <c r="KJ108" s="54" t="str">
        <f>IF('Final Exam'!Y$1=$A108,'Final Exam'!Y$46," ")</f>
        <v xml:space="preserve"> </v>
      </c>
      <c r="KK108" s="54" t="str">
        <f>IF('Final Exam'!Y$2=$A108,'Final Exam'!Y$46," ")</f>
        <v xml:space="preserve"> </v>
      </c>
      <c r="KL108" s="54" t="str">
        <f>IF('Final Exam'!Z$1=$A108,'Final Exam'!Z$46," ")</f>
        <v xml:space="preserve"> </v>
      </c>
      <c r="KM108" s="54" t="str">
        <f>IF('Final Exam'!Z$2=$A108,'Final Exam'!Z$46," ")</f>
        <v xml:space="preserve"> </v>
      </c>
      <c r="KN108" s="54" t="str">
        <f>IF('Final Exam'!AA$1=$A108,'Final Exam'!AA$46," ")</f>
        <v xml:space="preserve"> </v>
      </c>
      <c r="KO108" s="54" t="str">
        <f>IF('Final Exam'!AA$2=$A108,'Final Exam'!AA$46," ")</f>
        <v xml:space="preserve"> </v>
      </c>
      <c r="KP108" s="54" t="str">
        <f>IF('Final Exam'!AB$1=$A108,'Final Exam'!AB$46," ")</f>
        <v xml:space="preserve"> </v>
      </c>
      <c r="KQ108" s="54" t="str">
        <f>IF('Final Exam'!AB$2=$A108,'Final Exam'!AB$46," ")</f>
        <v xml:space="preserve"> </v>
      </c>
      <c r="KR108" s="54" t="str">
        <f>IF('Final Exam'!AC$1=$A108,'Final Exam'!AC$46," ")</f>
        <v xml:space="preserve"> </v>
      </c>
      <c r="KS108" s="54" t="str">
        <f>IF('Final Exam'!AC$2=$A108,'Final Exam'!AC$46," ")</f>
        <v xml:space="preserve"> </v>
      </c>
      <c r="KT108" s="54" t="str">
        <f>IF('Final Exam'!AD$1=$A108,'Final Exam'!AD$46," ")</f>
        <v xml:space="preserve"> </v>
      </c>
      <c r="KU108" s="54" t="str">
        <f>IF('Final Exam'!AD$2=$A108,'Final Exam'!AD$46," ")</f>
        <v xml:space="preserve"> </v>
      </c>
      <c r="KV108" s="54" t="str">
        <f>IF('Final Exam'!AE$1=$A108,'Final Exam'!AE$46," ")</f>
        <v xml:space="preserve"> </v>
      </c>
      <c r="KW108" s="54" t="str">
        <f>IF('Final Exam'!AE$2=$A108,'Final Exam'!AE$46," ")</f>
        <v xml:space="preserve"> </v>
      </c>
      <c r="KX108" s="54" t="str">
        <f>IF('Final Exam'!AF$1=$A108,'Final Exam'!AF$46," ")</f>
        <v xml:space="preserve"> </v>
      </c>
      <c r="KY108" s="54" t="str">
        <f>IF('Final Exam'!AF$2=$A108,'Final Exam'!AF$46," ")</f>
        <v xml:space="preserve"> </v>
      </c>
      <c r="KZ108" s="54" t="str">
        <f>IF('Final Exam'!AG$1=$A108,'Final Exam'!AG$46," ")</f>
        <v xml:space="preserve"> </v>
      </c>
      <c r="LA108" s="54" t="str">
        <f>IF('Final Exam'!AG$2=$A108,'Final Exam'!AG$46," ")</f>
        <v xml:space="preserve"> </v>
      </c>
      <c r="LC108" s="180" t="str">
        <f>IF('Incomplete Final'!C$1=$A108,'Incomplete Final'!C$46," ")</f>
        <v xml:space="preserve"> </v>
      </c>
      <c r="LD108" s="180" t="str">
        <f>IF('Incomplete Final'!C$2=$A108,'Incomplete Final'!C$46," ")</f>
        <v xml:space="preserve"> </v>
      </c>
      <c r="LE108" s="180" t="str">
        <f>IF('Incomplete Final'!D$1=$A108,'Incomplete Final'!D$46," ")</f>
        <v xml:space="preserve"> </v>
      </c>
      <c r="LF108" s="180" t="str">
        <f>IF('Incomplete Final'!D$2=$A108,'Incomplete Final'!D$46," ")</f>
        <v xml:space="preserve"> </v>
      </c>
      <c r="LG108" s="180" t="str">
        <f>IF('Incomplete Final'!E$1=$A108,'Incomplete Final'!E$46," ")</f>
        <v xml:space="preserve"> </v>
      </c>
      <c r="LH108" s="180" t="str">
        <f>IF('Incomplete Final'!E$2=$A108,'Incomplete Final'!E$46," ")</f>
        <v xml:space="preserve"> </v>
      </c>
      <c r="LI108" s="180" t="str">
        <f>IF('Incomplete Final'!F$1=$A108,'Incomplete Final'!F$46," ")</f>
        <v xml:space="preserve"> </v>
      </c>
      <c r="LJ108" s="180" t="str">
        <f>IF('Incomplete Final'!F$2=$A108,'Incomplete Final'!F$46," ")</f>
        <v xml:space="preserve"> </v>
      </c>
      <c r="LK108" s="180" t="str">
        <f>IF('Incomplete Final'!G$1=$A108,'Incomplete Final'!G$46," ")</f>
        <v xml:space="preserve"> </v>
      </c>
      <c r="LL108" s="180" t="str">
        <f>IF('Incomplete Final'!G$2=$A108,'Incomplete Final'!G$46," ")</f>
        <v xml:space="preserve"> </v>
      </c>
      <c r="LM108" s="180" t="str">
        <f>IF('Incomplete Final'!H$1=$A108,'Incomplete Final'!H$46," ")</f>
        <v xml:space="preserve"> </v>
      </c>
      <c r="LN108" s="180" t="str">
        <f>IF('Incomplete Final'!H$2=$A108,'Incomplete Final'!H$46," ")</f>
        <v xml:space="preserve"> </v>
      </c>
      <c r="LO108" s="180" t="str">
        <f>IF('Incomplete Final'!I$1=$A108,'Incomplete Final'!I$46," ")</f>
        <v xml:space="preserve"> </v>
      </c>
      <c r="LP108" s="180" t="str">
        <f>IF('Incomplete Final'!I$2=$A108,'Incomplete Final'!I$46," ")</f>
        <v xml:space="preserve"> </v>
      </c>
      <c r="LQ108" s="180" t="str">
        <f>IF('Incomplete Final'!J$1=$A108,'Incomplete Final'!J$46," ")</f>
        <v xml:space="preserve"> </v>
      </c>
      <c r="LR108" s="180" t="str">
        <f>IF('Incomplete Final'!J$2=$A108,'Incomplete Final'!J$46," ")</f>
        <v xml:space="preserve"> </v>
      </c>
      <c r="LS108" s="180" t="str">
        <f>IF('Incomplete Final'!K$1=$A108,'Incomplete Final'!K$46," ")</f>
        <v xml:space="preserve"> </v>
      </c>
      <c r="LT108" s="180" t="str">
        <f>IF('Incomplete Final'!K$2=$A108,'Incomplete Final'!K$46," ")</f>
        <v xml:space="preserve"> </v>
      </c>
      <c r="LU108" s="180" t="str">
        <f>IF('Incomplete Final'!L$1=$A108,'Incomplete Final'!L$46," ")</f>
        <v xml:space="preserve"> </v>
      </c>
      <c r="LV108" s="180" t="str">
        <f>IF('Incomplete Final'!L$2=$A108,'Incomplete Final'!L$46," ")</f>
        <v xml:space="preserve"> </v>
      </c>
      <c r="LW108" s="180" t="str">
        <f>IF('Incomplete Final'!M$1=$A108,'Incomplete Final'!M$46," ")</f>
        <v xml:space="preserve"> </v>
      </c>
      <c r="LX108" s="180" t="str">
        <f>IF('Incomplete Final'!M$2=$A108,'Incomplete Final'!M$46," ")</f>
        <v xml:space="preserve"> </v>
      </c>
      <c r="LY108" s="180" t="str">
        <f>IF('Incomplete Final'!N$1=$A108,'Incomplete Final'!N$46," ")</f>
        <v xml:space="preserve"> </v>
      </c>
      <c r="LZ108" s="180" t="str">
        <f>IF('Incomplete Final'!N$2=$A108,'Incomplete Final'!N$46," ")</f>
        <v xml:space="preserve"> </v>
      </c>
      <c r="MA108" s="180" t="str">
        <f>IF('Incomplete Final'!O$1=$A108,'Incomplete Final'!O$46," ")</f>
        <v xml:space="preserve"> </v>
      </c>
      <c r="MB108" s="180" t="str">
        <f>IF('Incomplete Final'!O$2=$A108,'Incomplete Final'!AB$46," ")</f>
        <v xml:space="preserve"> </v>
      </c>
      <c r="MC108" s="180" t="str">
        <f>IF('Incomplete Final'!P$1=$A108,'Incomplete Final'!P$46," ")</f>
        <v xml:space="preserve"> </v>
      </c>
      <c r="MD108" s="180" t="str">
        <f>IF('Incomplete Final'!P$2=$A108,'Incomplete Final'!P$46," ")</f>
        <v xml:space="preserve"> </v>
      </c>
      <c r="ME108" s="180" t="str">
        <f>IF('Incomplete Final'!Q$1=$A108,'Incomplete Final'!Q$46," ")</f>
        <v xml:space="preserve"> </v>
      </c>
      <c r="MF108" s="180" t="str">
        <f>IF('Incomplete Final'!Q$2=$A108,'Incomplete Final'!Q$46," ")</f>
        <v xml:space="preserve"> </v>
      </c>
      <c r="MG108" s="180" t="str">
        <f>IF('Incomplete Final'!R$1=$A108,'Incomplete Final'!R$46," ")</f>
        <v xml:space="preserve"> </v>
      </c>
      <c r="MH108" s="180" t="str">
        <f>IF('Incomplete Final'!R$2=$A108,'Incomplete Final'!R$46," ")</f>
        <v xml:space="preserve"> </v>
      </c>
      <c r="MI108" s="180" t="str">
        <f>IF('Incomplete Final'!S$1=$A108,'Incomplete Final'!S$46," ")</f>
        <v xml:space="preserve"> </v>
      </c>
      <c r="MJ108" s="180" t="str">
        <f>IF('Incomplete Final'!S$2=$A108,'Incomplete Final'!S$46," ")</f>
        <v xml:space="preserve"> </v>
      </c>
      <c r="MK108" s="180" t="str">
        <f>IF('Incomplete Final'!T$1=$A108,'Incomplete Final'!T$46," ")</f>
        <v xml:space="preserve"> </v>
      </c>
      <c r="ML108" s="180" t="str">
        <f>IF('Incomplete Final'!T$2=$A108,'Incomplete Final'!T$46," ")</f>
        <v xml:space="preserve"> </v>
      </c>
      <c r="MM108" s="180" t="str">
        <f>IF('Incomplete Final'!U$1=$A108,'Incomplete Final'!U$46," ")</f>
        <v xml:space="preserve"> </v>
      </c>
      <c r="MN108" s="180" t="str">
        <f>IF('Incomplete Final'!U$2=$A108,'Incomplete Final'!U$46," ")</f>
        <v xml:space="preserve"> </v>
      </c>
      <c r="MO108" s="180" t="str">
        <f>IF('Incomplete Final'!V$1=$A108,'Incomplete Final'!V$46," ")</f>
        <v xml:space="preserve"> </v>
      </c>
      <c r="MP108" s="180" t="str">
        <f>IF('Incomplete Final'!V$2=$A108,'Incomplete Final'!V$46," ")</f>
        <v xml:space="preserve"> </v>
      </c>
      <c r="MQ108" s="180" t="str">
        <f>IF('Incomplete Final'!W$1=$A108,'Incomplete Final'!W$46," ")</f>
        <v xml:space="preserve"> </v>
      </c>
      <c r="MR108" s="180" t="str">
        <f>IF('Incomplete Final'!W$2=$A108,'Incomplete Final'!W$46," ")</f>
        <v xml:space="preserve"> </v>
      </c>
      <c r="MS108" s="180" t="str">
        <f>IF('Incomplete Final'!X$1=$A108,'Incomplete Final'!X$46," ")</f>
        <v xml:space="preserve"> </v>
      </c>
      <c r="MT108" s="180" t="str">
        <f>IF('Incomplete Final'!X$2=$A108,'Incomplete Final'!X$46," ")</f>
        <v xml:space="preserve"> </v>
      </c>
      <c r="MU108" s="180" t="str">
        <f>IF('Incomplete Final'!Y$1=$A108,'Incomplete Final'!Y$46," ")</f>
        <v xml:space="preserve"> </v>
      </c>
      <c r="MV108" s="180" t="str">
        <f>IF('Incomplete Final'!Y$2=$A108,'Incomplete Final'!Y$46," ")</f>
        <v xml:space="preserve"> </v>
      </c>
      <c r="MW108" s="180" t="str">
        <f>IF('Incomplete Final'!Z$1=$A108,'Incomplete Final'!Z$46," ")</f>
        <v xml:space="preserve"> </v>
      </c>
      <c r="MX108" s="180" t="str">
        <f>IF('Incomplete Final'!Z$2=$A108,'Incomplete Final'!Z$46," ")</f>
        <v xml:space="preserve"> </v>
      </c>
      <c r="MY108" s="180" t="str">
        <f>IF('Incomplete Final'!AA$1=$A108,'Incomplete Final'!AA$46," ")</f>
        <v xml:space="preserve"> </v>
      </c>
      <c r="MZ108" s="180" t="str">
        <f>IF('Incomplete Final'!AA$2=$A108,'Incomplete Final'!AA$46," ")</f>
        <v xml:space="preserve"> </v>
      </c>
      <c r="NA108" s="180" t="str">
        <f>IF('Incomplete Final'!AB$1=$A108,'Incomplete Final'!AB$46," ")</f>
        <v xml:space="preserve"> </v>
      </c>
      <c r="NB108" s="180" t="str">
        <f>IF('Incomplete Final'!AB$2=$A108,'Incomplete Final'!AB$46," ")</f>
        <v xml:space="preserve"> </v>
      </c>
      <c r="NC108" s="180" t="str">
        <f>IF('Incomplete Final'!AC$1=$A108,'Incomplete Final'!AC$46," ")</f>
        <v xml:space="preserve"> </v>
      </c>
      <c r="ND108" s="180" t="str">
        <f>IF('Incomplete Final'!AC$2=$A108,'Incomplete Final'!AC$46," ")</f>
        <v xml:space="preserve"> </v>
      </c>
      <c r="NE108" s="180" t="str">
        <f>IF('Incomplete Final'!AD$1=$A108,'Incomplete Final'!AD$46," ")</f>
        <v xml:space="preserve"> </v>
      </c>
      <c r="NF108" s="180" t="str">
        <f>IF('Incomplete Final'!AD$2=$A108,'Incomplete Final'!AD$46," ")</f>
        <v xml:space="preserve"> </v>
      </c>
      <c r="NG108" s="180" t="str">
        <f>IF('Incomplete Final'!AE$1=$A108,'Incomplete Final'!AE$46," ")</f>
        <v xml:space="preserve"> </v>
      </c>
      <c r="NH108" s="180" t="str">
        <f>IF('Incomplete Final'!AE$2=$A108,'Incomplete Final'!AE$46," ")</f>
        <v xml:space="preserve"> </v>
      </c>
      <c r="NI108" s="180" t="str">
        <f>IF('Incomplete Final'!AF$1=$A108,'Incomplete Final'!AF$46," ")</f>
        <v xml:space="preserve"> </v>
      </c>
      <c r="NJ108" s="180" t="str">
        <f>IF('Incomplete Final'!AF$2=$A108,'Incomplete Final'!AF$46," ")</f>
        <v xml:space="preserve"> </v>
      </c>
      <c r="NK108" s="180" t="str">
        <f>IF('Incomplete Final'!AG$1=$A108,'Incomplete Final'!AG$46," ")</f>
        <v xml:space="preserve"> </v>
      </c>
      <c r="NL108" s="180" t="str">
        <f>IF('Incomplete Final'!AG$2=$A108,'Incomplete Final'!AG$46," ")</f>
        <v xml:space="preserve"> </v>
      </c>
      <c r="NN108" s="53" t="str">
        <f>IF('Laboratory Final'!C$1=$A108,'Laboratory Final'!C$46," ")</f>
        <v xml:space="preserve"> </v>
      </c>
      <c r="NO108" s="53" t="str">
        <f>IF('Laboratory Final'!C$2=$A108,'Laboratory Final'!C$46," ")</f>
        <v xml:space="preserve"> </v>
      </c>
      <c r="NP108" s="53" t="str">
        <f>IF('Laboratory Final'!D$1=$A108,'Laboratory Final'!D$46," ")</f>
        <v xml:space="preserve"> </v>
      </c>
      <c r="NQ108" s="53" t="str">
        <f>IF('Laboratory Final'!D$2=$A108,'Laboratory Final'!D$46," ")</f>
        <v xml:space="preserve"> </v>
      </c>
      <c r="NR108" s="53" t="str">
        <f>IF('Laboratory Final'!E$1=$A108,'Laboratory Final'!E$46," ")</f>
        <v xml:space="preserve"> </v>
      </c>
      <c r="NS108" s="53" t="str">
        <f>IF('Laboratory Final'!E$2=$A108,'Laboratory Final'!E$46," ")</f>
        <v xml:space="preserve"> </v>
      </c>
      <c r="NT108" s="53" t="str">
        <f>IF('Laboratory Final'!F$1=$A108,'Laboratory Final'!F$46," ")</f>
        <v xml:space="preserve"> </v>
      </c>
      <c r="NU108" s="53" t="str">
        <f>IF('Laboratory Final'!F$2=$A108,'Laboratory Final'!F$46," ")</f>
        <v xml:space="preserve"> </v>
      </c>
      <c r="NV108" s="53" t="str">
        <f>IF('Laboratory Final'!G$1=$A108,'Laboratory Final'!G$46," ")</f>
        <v xml:space="preserve"> </v>
      </c>
      <c r="NW108" s="53" t="str">
        <f>IF('Laboratory Final'!G$2=$A108,'Laboratory Final'!G$46," ")</f>
        <v xml:space="preserve"> </v>
      </c>
      <c r="NX108" s="53" t="str">
        <f>IF('Laboratory Final'!H$1=$A108,'Laboratory Final'!H$46," ")</f>
        <v xml:space="preserve"> </v>
      </c>
      <c r="NY108" s="53" t="str">
        <f>IF('Laboratory Final'!H$2=$A108,'Laboratory Final'!H$46," ")</f>
        <v xml:space="preserve"> </v>
      </c>
      <c r="NZ108" s="53" t="str">
        <f>IF('Laboratory Final'!I$1=$A108,'Laboratory Final'!I$46," ")</f>
        <v xml:space="preserve"> </v>
      </c>
      <c r="OA108" s="53" t="str">
        <f>IF('Laboratory Final'!I$2=$A108,'Laboratory Final'!I$46," ")</f>
        <v xml:space="preserve"> </v>
      </c>
      <c r="OB108" s="53" t="str">
        <f>IF('Laboratory Final'!J$1=$A108,'Laboratory Final'!J$46," ")</f>
        <v xml:space="preserve"> </v>
      </c>
      <c r="OC108" s="53" t="str">
        <f>IF('Laboratory Final'!J$2=$A108,'Laboratory Final'!J$46," ")</f>
        <v xml:space="preserve"> </v>
      </c>
      <c r="OD108" s="53" t="str">
        <f>IF('Laboratory Final'!K$1=$A108,'Laboratory Final'!K$46," ")</f>
        <v xml:space="preserve"> </v>
      </c>
      <c r="OE108" s="53" t="str">
        <f>IF('Laboratory Final'!K$2=$A108,'Laboratory Final'!K$46," ")</f>
        <v xml:space="preserve"> </v>
      </c>
      <c r="OF108" s="53" t="str">
        <f>IF('Laboratory Final'!L$1=$A108,'Laboratory Final'!L$46," ")</f>
        <v xml:space="preserve"> </v>
      </c>
      <c r="OG108" s="53" t="str">
        <f>IF('Laboratory Final'!L$2=$A108,'Laboratory Final'!L$46," ")</f>
        <v xml:space="preserve"> </v>
      </c>
      <c r="OI108" s="192" t="e">
        <f t="shared" si="14"/>
        <v>#DIV/0!</v>
      </c>
    </row>
    <row r="109" spans="1:399" ht="18.75" x14ac:dyDescent="0.3">
      <c r="A109" s="48">
        <v>4</v>
      </c>
      <c r="B109" s="55">
        <f>IF(SUM(D109:LA109)=0,0,AVERAGE('Course Analysis'!D109:LA109))</f>
        <v>0</v>
      </c>
      <c r="D109" s="53" t="str">
        <f>IF(Project!C$1=$A109,Project!C$46," ")</f>
        <v xml:space="preserve"> </v>
      </c>
      <c r="E109" s="53" t="str">
        <f>IF(Project!C$2=$A109,Project!C$46," ")</f>
        <v xml:space="preserve"> </v>
      </c>
      <c r="F109" s="53" t="str">
        <f>IF(Project!D$1=$A109,Project!D$46," ")</f>
        <v xml:space="preserve"> </v>
      </c>
      <c r="G109" s="53" t="str">
        <f>IF(Project!D$2=$A109,Project!D$46," ")</f>
        <v xml:space="preserve"> </v>
      </c>
      <c r="H109" s="53" t="str">
        <f>IF(Project!E$1=$A109,Project!E$46," ")</f>
        <v xml:space="preserve"> </v>
      </c>
      <c r="I109" s="53" t="str">
        <f>IF(Project!E$2=$A109,Project!E$46," ")</f>
        <v xml:space="preserve"> </v>
      </c>
      <c r="J109" s="53" t="str">
        <f>IF(Project!F$1=$A109,Project!F$46," ")</f>
        <v xml:space="preserve"> </v>
      </c>
      <c r="K109" s="53" t="str">
        <f>IF(Project!F$2=$A109,Project!F$46," ")</f>
        <v xml:space="preserve"> </v>
      </c>
      <c r="L109" s="53" t="str">
        <f>IF(Project!G$1=$A109,Project!G$46," ")</f>
        <v xml:space="preserve"> </v>
      </c>
      <c r="M109" s="53" t="str">
        <f>IF(Project!G$2=$A109,Project!G$46," ")</f>
        <v xml:space="preserve"> </v>
      </c>
      <c r="N109" s="53" t="str">
        <f>IF(Project!H$1=$A109,Project!H$46," ")</f>
        <v xml:space="preserve"> </v>
      </c>
      <c r="O109" s="53" t="str">
        <f>IF(Project!H$2=$A109,Project!H$46," ")</f>
        <v xml:space="preserve"> </v>
      </c>
      <c r="P109" s="53" t="str">
        <f>IF(Project!I$1=$A109,Project!I$46," ")</f>
        <v xml:space="preserve"> </v>
      </c>
      <c r="Q109" s="53" t="str">
        <f>IF(Project!I$2=$A109,Project!I$46," ")</f>
        <v xml:space="preserve"> </v>
      </c>
      <c r="R109" s="53" t="str">
        <f>IF(Project!J$1=$A109,Project!J$46," ")</f>
        <v xml:space="preserve"> </v>
      </c>
      <c r="S109" s="53" t="str">
        <f>IF(Project!J$2=$A109,Project!J$46," ")</f>
        <v xml:space="preserve"> </v>
      </c>
      <c r="T109" s="53" t="str">
        <f>IF(Project!K$1=$A109,Project!K$46," ")</f>
        <v xml:space="preserve"> </v>
      </c>
      <c r="U109" s="53" t="str">
        <f>IF(Project!K$2=$A109,Project!K$46," ")</f>
        <v xml:space="preserve"> </v>
      </c>
      <c r="V109" s="53" t="str">
        <f>IF(Project!L$1=$A109,Project!L$46," ")</f>
        <v xml:space="preserve"> </v>
      </c>
      <c r="W109" s="53" t="str">
        <f>IF(Project!L$2=$A109,Project!L$46," ")</f>
        <v xml:space="preserve"> </v>
      </c>
      <c r="Y109" s="53" t="str">
        <f>IF(Homework!C$1=$A109,Homework!C$46," ")</f>
        <v xml:space="preserve"> </v>
      </c>
      <c r="Z109" s="53" t="str">
        <f>IF(Homework!C$2=$A109,Homework!C$46," ")</f>
        <v xml:space="preserve"> </v>
      </c>
      <c r="AA109" s="53" t="str">
        <f>IF(Homework!D$1=$A109,Homework!D$46," ")</f>
        <v xml:space="preserve"> </v>
      </c>
      <c r="AB109" s="53" t="str">
        <f>IF(Homework!D$2=$A109,Homework!D$46," ")</f>
        <v xml:space="preserve"> </v>
      </c>
      <c r="AC109" s="53" t="str">
        <f>IF(Homework!E$1=$A109,Homework!E$46," ")</f>
        <v xml:space="preserve"> </v>
      </c>
      <c r="AD109" s="53" t="str">
        <f>IF(Homework!E$2=$A109,Homework!E$46," ")</f>
        <v xml:space="preserve"> </v>
      </c>
      <c r="AE109" s="53" t="str">
        <f>IF(Homework!F$1=$A109,Homework!F$46," ")</f>
        <v xml:space="preserve"> </v>
      </c>
      <c r="AF109" s="53" t="str">
        <f>IF(Homework!F$2=$A109,Homework!F$46," ")</f>
        <v xml:space="preserve"> </v>
      </c>
      <c r="AG109" s="53" t="str">
        <f>IF(Homework!G$1=$A109,Homework!G$46," ")</f>
        <v xml:space="preserve"> </v>
      </c>
      <c r="AH109" s="53" t="str">
        <f>IF(Homework!G$2=$A109,Homework!G$46," ")</f>
        <v xml:space="preserve"> </v>
      </c>
      <c r="AI109" s="53" t="str">
        <f>IF(Homework!H$1=$A109,Homework!H$46," ")</f>
        <v xml:space="preserve"> </v>
      </c>
      <c r="AJ109" s="53" t="str">
        <f>IF(Homework!H$2=$A109,Homework!H$46," ")</f>
        <v xml:space="preserve"> </v>
      </c>
      <c r="AK109" s="53" t="str">
        <f>IF(Homework!I$1=$A109,Homework!I$46," ")</f>
        <v xml:space="preserve"> </v>
      </c>
      <c r="AL109" s="53" t="str">
        <f>IF(Homework!I$2=$A109,Homework!I$46," ")</f>
        <v xml:space="preserve"> </v>
      </c>
      <c r="AM109" s="53" t="str">
        <f>IF(Homework!J$1=$A109,Homework!J$46," ")</f>
        <v xml:space="preserve"> </v>
      </c>
      <c r="AN109" s="53" t="str">
        <f>IF(Homework!J$2=$A109,Homework!J$46," ")</f>
        <v xml:space="preserve"> </v>
      </c>
      <c r="AO109" s="53" t="str">
        <f>IF(Homework!K$1=$A109,Homework!K$46," ")</f>
        <v xml:space="preserve"> </v>
      </c>
      <c r="AP109" s="53" t="str">
        <f>IF(Homework!K$2=$A109,Homework!K$46," ")</f>
        <v xml:space="preserve"> </v>
      </c>
      <c r="AQ109" s="53" t="str">
        <f>IF(Homework!L$1=$A109,Homework!L$46," ")</f>
        <v xml:space="preserve"> </v>
      </c>
      <c r="AR109" s="53" t="str">
        <f>IF(Homework!L$2=$A109,Homework!L$46," ")</f>
        <v xml:space="preserve"> </v>
      </c>
      <c r="AS109" s="53" t="str">
        <f>IF(Homework!M$1=$A109,Homework!M$46," ")</f>
        <v xml:space="preserve"> </v>
      </c>
      <c r="AT109" s="53" t="str">
        <f>IF(Homework!M$2=$A109,Homework!M$46," ")</f>
        <v xml:space="preserve"> </v>
      </c>
      <c r="AU109" s="53" t="str">
        <f>IF(Homework!N$1=$A109,Homework!N$46," ")</f>
        <v xml:space="preserve"> </v>
      </c>
      <c r="AV109" s="53" t="str">
        <f>IF(Homework!N$2=$A109,Homework!N$46," ")</f>
        <v xml:space="preserve"> </v>
      </c>
      <c r="AW109" s="53" t="str">
        <f>IF(Homework!O$1=$A109,Homework!O$46," ")</f>
        <v xml:space="preserve"> </v>
      </c>
      <c r="AX109" s="53" t="str">
        <f>IF(Homework!O$2=$A109,Homework!O$46," ")</f>
        <v xml:space="preserve"> </v>
      </c>
      <c r="AY109" s="53" t="str">
        <f>IF(Homework!P$1=$A109,Homework!P$46," ")</f>
        <v xml:space="preserve"> </v>
      </c>
      <c r="AZ109" s="53" t="str">
        <f>IF(Homework!P$2=$A109,Homework!P$46," ")</f>
        <v xml:space="preserve"> </v>
      </c>
      <c r="BA109" s="53" t="str">
        <f>IF(Homework!Q$1=$A109,Homework!Q$46," ")</f>
        <v xml:space="preserve"> </v>
      </c>
      <c r="BB109" s="53" t="str">
        <f>IF(Homework!Q$2=$A109,Homework!Q$46," ")</f>
        <v xml:space="preserve"> </v>
      </c>
      <c r="BC109" s="53" t="str">
        <f>IF(Homework!R$1=$A109,Homework!R$46," ")</f>
        <v xml:space="preserve"> </v>
      </c>
      <c r="BD109" s="53" t="str">
        <f>IF(Homework!R$2=$A109,Homework!R$46," ")</f>
        <v xml:space="preserve"> </v>
      </c>
      <c r="BE109" s="53" t="str">
        <f>IF(Homework!S$1=$A109,Homework!S$46," ")</f>
        <v xml:space="preserve"> </v>
      </c>
      <c r="BF109" s="53" t="str">
        <f>IF(Homework!S$2=$A109,Homework!S$46," ")</f>
        <v xml:space="preserve"> </v>
      </c>
      <c r="BG109" s="53" t="str">
        <f>IF(Homework!T$1=$A109,Homework!T$46," ")</f>
        <v xml:space="preserve"> </v>
      </c>
      <c r="BH109" s="53" t="str">
        <f>IF(Homework!T$2=$A109,Homework!T$46," ")</f>
        <v xml:space="preserve"> </v>
      </c>
      <c r="BI109" s="53" t="str">
        <f>IF(Homework!U$1=$A109,Homework!U$46," ")</f>
        <v xml:space="preserve"> </v>
      </c>
      <c r="BJ109" s="53" t="str">
        <f>IF(Homework!U$2=$A109,Homework!U$46," ")</f>
        <v xml:space="preserve"> </v>
      </c>
      <c r="BK109" s="53" t="str">
        <f>IF(Homework!V$1=$A109,Homework!V$46," ")</f>
        <v xml:space="preserve"> </v>
      </c>
      <c r="BL109" s="53" t="str">
        <f>IF(Homework!V$2=$A109,Homework!V$46," ")</f>
        <v xml:space="preserve"> </v>
      </c>
      <c r="BN109" s="66" t="str">
        <f>IF(Laboratory!C$1=$A109,Laboratory!C$46," ")</f>
        <v xml:space="preserve"> </v>
      </c>
      <c r="BO109" s="66" t="str">
        <f>IF(Laboratory!C$2=$A109,Laboratory!C$46," ")</f>
        <v xml:space="preserve"> </v>
      </c>
      <c r="BP109" s="66" t="str">
        <f>IF(Laboratory!D$1=$A109,Laboratory!D$46," ")</f>
        <v xml:space="preserve"> </v>
      </c>
      <c r="BQ109" s="66" t="str">
        <f>IF(Laboratory!D$2=$A109,Laboratory!D$46," ")</f>
        <v xml:space="preserve"> </v>
      </c>
      <c r="BR109" s="66" t="str">
        <f>IF(Laboratory!E$1=$A109,Laboratory!E$46," ")</f>
        <v xml:space="preserve"> </v>
      </c>
      <c r="BS109" s="66" t="str">
        <f>IF(Laboratory!E$2=$A109,Laboratory!E$46," ")</f>
        <v xml:space="preserve"> </v>
      </c>
      <c r="BT109" s="66" t="str">
        <f>IF(Laboratory!F$1=$A109,Laboratory!F$46," ")</f>
        <v xml:space="preserve"> </v>
      </c>
      <c r="BU109" s="66" t="str">
        <f>IF(Laboratory!F$2=$A109,Laboratory!F$46," ")</f>
        <v xml:space="preserve"> </v>
      </c>
      <c r="BV109" s="66" t="str">
        <f>IF(Laboratory!G$1=$A109,Laboratory!G$46," ")</f>
        <v xml:space="preserve"> </v>
      </c>
      <c r="BW109" s="66" t="str">
        <f>IF(Laboratory!G$2=$A109,Laboratory!G$46," ")</f>
        <v xml:space="preserve"> </v>
      </c>
      <c r="BX109" s="66" t="str">
        <f>IF(Laboratory!H$1=$A109,Laboratory!H$46," ")</f>
        <v xml:space="preserve"> </v>
      </c>
      <c r="BY109" s="66" t="str">
        <f>IF(Laboratory!H$2=$A109,Laboratory!H$46," ")</f>
        <v xml:space="preserve"> </v>
      </c>
      <c r="BZ109" s="66"/>
      <c r="CA109" s="66" t="str">
        <f>IF(Laboratory!I$2=$A109,Laboratory!I$46," ")</f>
        <v xml:space="preserve"> </v>
      </c>
      <c r="CB109" s="66"/>
      <c r="CC109" s="66" t="str">
        <f>IF(Laboratory!J$2=$A109,Laboratory!J$46," ")</f>
        <v xml:space="preserve"> </v>
      </c>
      <c r="CD109" s="66" t="str">
        <f>IF(Laboratory!K$1=$A109,Laboratory!K$46," ")</f>
        <v xml:space="preserve"> </v>
      </c>
      <c r="CE109" s="66" t="str">
        <f>IF(Laboratory!K$2=$A109,Laboratory!K$46," ")</f>
        <v xml:space="preserve"> </v>
      </c>
      <c r="CF109" s="66" t="str">
        <f>IF(Laboratory!L$1=$A109,Laboratory!L$46," ")</f>
        <v xml:space="preserve"> </v>
      </c>
      <c r="CG109" s="66" t="str">
        <f>IF(Laboratory!L$2=$A109,Laboratory!L$46," ")</f>
        <v xml:space="preserve"> </v>
      </c>
      <c r="CH109" s="66" t="str">
        <f>IF(Laboratory!M$1=$A109,Laboratory!M$46," ")</f>
        <v xml:space="preserve"> </v>
      </c>
      <c r="CI109" s="66" t="str">
        <f>IF(Laboratory!M$2=$A109,Laboratory!M$46," ")</f>
        <v xml:space="preserve"> </v>
      </c>
      <c r="CJ109" s="66" t="str">
        <f>IF(Laboratory!N$1=$A109,Laboratory!N$46," ")</f>
        <v xml:space="preserve"> </v>
      </c>
      <c r="CK109" s="66" t="str">
        <f>IF(Laboratory!N$2=$A109,Laboratory!N$46," ")</f>
        <v xml:space="preserve"> </v>
      </c>
      <c r="CL109" s="66" t="str">
        <f>IF(Laboratory!O$1=$A109,Laboratory!O$46," ")</f>
        <v xml:space="preserve"> </v>
      </c>
      <c r="CM109" s="66" t="str">
        <f>IF(Laboratory!O$2=$A109,Laboratory!O$46," ")</f>
        <v xml:space="preserve"> </v>
      </c>
      <c r="CN109" s="66" t="str">
        <f>IF(Laboratory!P$1=$A109,Laboratory!P$46," ")</f>
        <v xml:space="preserve"> </v>
      </c>
      <c r="CO109" s="66" t="str">
        <f>IF(Laboratory!P$2=$A109,Laboratory!P$46," ")</f>
        <v xml:space="preserve"> </v>
      </c>
      <c r="CQ109" s="52" t="str">
        <f>IF(Quizzes!C$1=$A109,Quizzes!C$46," ")</f>
        <v xml:space="preserve"> </v>
      </c>
      <c r="CR109" s="52" t="str">
        <f>IF(Quizzes!C$2=$A109,Quizzes!C$46," ")</f>
        <v xml:space="preserve"> </v>
      </c>
      <c r="CS109" s="52" t="str">
        <f>IF(Quizzes!D$1=$A109,Quizzes!D$46," ")</f>
        <v xml:space="preserve"> </v>
      </c>
      <c r="CT109" s="52" t="str">
        <f>IF(Quizzes!D$2=$A109,Quizzes!D$46," ")</f>
        <v xml:space="preserve"> </v>
      </c>
      <c r="CU109" s="52" t="str">
        <f>IF(Quizzes!E$1=$A109,Quizzes!E$46," ")</f>
        <v xml:space="preserve"> </v>
      </c>
      <c r="CV109" s="52" t="str">
        <f>IF(Quizzes!E$2=$A109,Quizzes!E$46," ")</f>
        <v xml:space="preserve"> </v>
      </c>
      <c r="CW109" s="52" t="str">
        <f>IF(Quizzes!F$1=$A109,Quizzes!F$46," ")</f>
        <v xml:space="preserve"> </v>
      </c>
      <c r="CX109" s="52" t="str">
        <f>IF(Quizzes!F$2=$A109,Quizzes!F$46," ")</f>
        <v xml:space="preserve"> </v>
      </c>
      <c r="CY109" s="52" t="str">
        <f>IF(Quizzes!G$1=$A109,Quizzes!G$46," ")</f>
        <v xml:space="preserve"> </v>
      </c>
      <c r="CZ109" s="52" t="str">
        <f>IF(Quizzes!G$2=$A109,Quizzes!G$46," ")</f>
        <v xml:space="preserve"> </v>
      </c>
      <c r="DA109" s="52" t="str">
        <f>IF(Quizzes!H$1=$A109,Quizzes!H$46," ")</f>
        <v xml:space="preserve"> </v>
      </c>
      <c r="DB109" s="52" t="str">
        <f>IF(Quizzes!H$2=$A109,Quizzes!H$46," ")</f>
        <v xml:space="preserve"> </v>
      </c>
      <c r="DC109" s="52" t="str">
        <f>IF(Quizzes!I$1=$A109,Quizzes!I$46," ")</f>
        <v xml:space="preserve"> </v>
      </c>
      <c r="DD109" s="52" t="str">
        <f>IF(Quizzes!I$2=$A109,Quizzes!I$46," ")</f>
        <v xml:space="preserve"> </v>
      </c>
      <c r="DE109" s="52" t="str">
        <f>IF(Quizzes!J$1=$A109,Quizzes!J$46," ")</f>
        <v xml:space="preserve"> </v>
      </c>
      <c r="DF109" s="52" t="str">
        <f>IF(Quizzes!J$2=$A109,Quizzes!J$46," ")</f>
        <v xml:space="preserve"> </v>
      </c>
      <c r="DG109" s="52" t="str">
        <f>IF(Quizzes!K$1=$A109,Quizzes!K$46," ")</f>
        <v xml:space="preserve"> </v>
      </c>
      <c r="DH109" s="52" t="str">
        <f>IF(Quizzes!K$2=$A109,Quizzes!K$46," ")</f>
        <v xml:space="preserve"> </v>
      </c>
      <c r="DI109" s="52" t="str">
        <f>IF(Quizzes!L$1=$A109,Quizzes!L$46," ")</f>
        <v xml:space="preserve"> </v>
      </c>
      <c r="DJ109" s="52" t="str">
        <f>IF(Quizzes!L$2=$A109,Quizzes!L$46," ")</f>
        <v xml:space="preserve"> </v>
      </c>
      <c r="DK109" s="52" t="str">
        <f>IF(Quizzes!M$1=$A109,Quizzes!M$46," ")</f>
        <v xml:space="preserve"> </v>
      </c>
      <c r="DL109" s="52" t="str">
        <f>IF(Quizzes!M$2=$A109,Quizzes!M$46," ")</f>
        <v xml:space="preserve"> </v>
      </c>
      <c r="DM109" s="52" t="str">
        <f>IF(Quizzes!N$1=$A109,Quizzes!N$46," ")</f>
        <v xml:space="preserve"> </v>
      </c>
      <c r="DN109" s="52" t="str">
        <f>IF(Quizzes!N$2=$A109,Quizzes!N$46," ")</f>
        <v xml:space="preserve"> </v>
      </c>
      <c r="DO109" s="52" t="str">
        <f>IF(Quizzes!O$1=$A109,Quizzes!O$46," ")</f>
        <v xml:space="preserve"> </v>
      </c>
      <c r="DP109" s="52" t="str">
        <f>IF(Quizzes!O$2=$A109,Quizzes!O$46," ")</f>
        <v xml:space="preserve"> </v>
      </c>
      <c r="DQ109" s="52" t="str">
        <f>IF(Quizzes!P$1=$A109,Quizzes!P$46," ")</f>
        <v xml:space="preserve"> </v>
      </c>
      <c r="DR109" s="52" t="str">
        <f>IF(Quizzes!P$2=$A109,Quizzes!P$46," ")</f>
        <v xml:space="preserve"> </v>
      </c>
      <c r="DS109" s="52" t="str">
        <f>IF(Quizzes!Q$1=$A109,Quizzes!Q$46," ")</f>
        <v xml:space="preserve"> </v>
      </c>
      <c r="DT109" s="52" t="str">
        <f>IF(Quizzes!Q$1=$A109,Quizzes!Q$46," ")</f>
        <v xml:space="preserve"> </v>
      </c>
      <c r="DV109" s="25" t="str">
        <f>IF('Midterm 1'!C$1=$A109,'Midterm 1'!C$47," ")</f>
        <v xml:space="preserve"> </v>
      </c>
      <c r="DW109" s="25" t="str">
        <f>IF('Midterm 1'!C$2=$A109,'Midterm 1'!C$47," ")</f>
        <v xml:space="preserve"> </v>
      </c>
      <c r="DX109" s="25" t="str">
        <f>IF('Midterm 1'!D$1=$A109,'Midterm 1'!D$47," ")</f>
        <v xml:space="preserve"> </v>
      </c>
      <c r="DY109" s="25" t="str">
        <f>IF('Midterm 1'!D$2=$A109,'Midterm 1'!D$47," ")</f>
        <v xml:space="preserve"> </v>
      </c>
      <c r="DZ109" s="25" t="str">
        <f>IF('Midterm 1'!E$1=$A109,'Midterm 1'!E$47," ")</f>
        <v xml:space="preserve"> </v>
      </c>
      <c r="EA109" s="25" t="str">
        <f>IF('Midterm 1'!E$2=$A109,'Midterm 1'!E$47," ")</f>
        <v xml:space="preserve"> </v>
      </c>
      <c r="EB109" s="25" t="str">
        <f>IF('Midterm 1'!F$1=$A109,'Midterm 1'!F$47," ")</f>
        <v xml:space="preserve"> </v>
      </c>
      <c r="EC109" s="25" t="str">
        <f>IF('Midterm 1'!F$2=$A109,'Midterm 1'!F$47," ")</f>
        <v xml:space="preserve"> </v>
      </c>
      <c r="ED109" s="25" t="str">
        <f>IF('Midterm 1'!G$1=$A109,'Midterm 1'!G$47," ")</f>
        <v xml:space="preserve"> </v>
      </c>
      <c r="EE109" s="25" t="str">
        <f>IF('Midterm 1'!G$2=$A109,'Midterm 1'!G$47," ")</f>
        <v xml:space="preserve"> </v>
      </c>
      <c r="EF109" s="25" t="str">
        <f>IF('Midterm 1'!H$1=$A109,'Midterm 1'!I$47," ")</f>
        <v xml:space="preserve"> </v>
      </c>
      <c r="EG109" s="25" t="str">
        <f>IF('Midterm 1'!H$2=$A109,'Midterm 1'!H$47," ")</f>
        <v xml:space="preserve"> </v>
      </c>
      <c r="EH109" s="25" t="str">
        <f>IF('Midterm 1'!I$1=$A109,'Midterm 1'!I$47," ")</f>
        <v xml:space="preserve"> </v>
      </c>
      <c r="EI109" s="25" t="str">
        <f>IF('Midterm 1'!I$2=$A109,'Midterm 1'!I$47," ")</f>
        <v xml:space="preserve"> </v>
      </c>
      <c r="EJ109" s="25" t="str">
        <f>IF('Midterm 1'!J$1=$A109,'Midterm 1'!J$47," ")</f>
        <v xml:space="preserve"> </v>
      </c>
      <c r="EK109" s="25" t="str">
        <f>IF('Midterm 1'!J$2=$A109,'Midterm 1'!J$47," ")</f>
        <v xml:space="preserve"> </v>
      </c>
      <c r="EL109" s="25" t="str">
        <f>IF('Midterm 1'!K$1=$A109,'Midterm 1'!K$47," ")</f>
        <v xml:space="preserve"> </v>
      </c>
      <c r="EM109" s="25" t="str">
        <f>IF('Midterm 1'!K$2=$A109,'Midterm 1'!K$47," ")</f>
        <v xml:space="preserve"> </v>
      </c>
      <c r="EN109" s="25" t="str">
        <f>IF('Midterm 1'!L$1=$A109,'Midterm 1'!L$47," ")</f>
        <v xml:space="preserve"> </v>
      </c>
      <c r="EO109" s="25" t="str">
        <f>IF('Midterm 1'!L$2=$A109,'Midterm 1'!L$47," ")</f>
        <v xml:space="preserve"> </v>
      </c>
      <c r="EP109" s="25" t="str">
        <f>IF('Midterm 1'!M$1=$A109,'Midterm 1'!M$47," ")</f>
        <v xml:space="preserve"> </v>
      </c>
      <c r="EQ109" s="25" t="str">
        <f>IF('Midterm 1'!M$2=$A109,'Midterm 1'!M$47," ")</f>
        <v xml:space="preserve"> </v>
      </c>
      <c r="ER109" s="25" t="str">
        <f>IF('Midterm 1'!N$1=$A109,'Midterm 1'!N$47," ")</f>
        <v xml:space="preserve"> </v>
      </c>
      <c r="ES109" s="25" t="str">
        <f>IF('Midterm 1'!N$2=$A109,'Midterm 1'!N$47," ")</f>
        <v xml:space="preserve"> </v>
      </c>
      <c r="ET109" s="25" t="str">
        <f>IF('Midterm 1'!O$1=$A109,'Midterm 1'!O$47," ")</f>
        <v xml:space="preserve"> </v>
      </c>
      <c r="EU109" s="25" t="str">
        <f>IF('Midterm 1'!O$2=$A109,'Midterm 1'!O$47," ")</f>
        <v xml:space="preserve"> </v>
      </c>
      <c r="EV109" s="25" t="str">
        <f>IF('Midterm 1'!P$1=$A109,'Midterm 1'!P$47," ")</f>
        <v xml:space="preserve"> </v>
      </c>
      <c r="EW109" s="25" t="str">
        <f>IF('Midterm 1'!P$2=$A109,'Midterm 1'!P$47," ")</f>
        <v xml:space="preserve"> </v>
      </c>
      <c r="EX109" s="25" t="str">
        <f>IF('Midterm 1'!Q$1=$A109,'Midterm 1'!Q$47," ")</f>
        <v xml:space="preserve"> </v>
      </c>
      <c r="EY109" s="25" t="str">
        <f>IF('Midterm 1'!Q$2=$A109,'Midterm 1'!Q$47," ")</f>
        <v xml:space="preserve"> </v>
      </c>
      <c r="EZ109" s="25" t="str">
        <f>IF('Midterm 1'!R$1=$A109,'Midterm 1'!R$47," ")</f>
        <v xml:space="preserve"> </v>
      </c>
      <c r="FA109" s="25" t="str">
        <f>IF('Midterm 1'!R$2=$A109,'Midterm 1'!R$47," ")</f>
        <v xml:space="preserve"> </v>
      </c>
      <c r="FB109" s="25" t="str">
        <f>IF('Midterm 1'!S$1=$A109,'Midterm 1'!S$47," ")</f>
        <v xml:space="preserve"> </v>
      </c>
      <c r="FC109" s="25" t="str">
        <f>IF('Midterm 1'!S$2=$A109,'Midterm 1'!S$47," ")</f>
        <v xml:space="preserve"> </v>
      </c>
      <c r="FD109" s="25" t="str">
        <f>IF('Midterm 1'!T$1=$A109,'Midterm 1'!T$47," ")</f>
        <v xml:space="preserve"> </v>
      </c>
      <c r="FE109" s="25" t="str">
        <f>IF('Midterm 1'!T$2=$A109,'Midterm 1'!T$47," ")</f>
        <v xml:space="preserve"> </v>
      </c>
      <c r="FF109" s="25" t="str">
        <f>IF('Midterm 1'!U$1=$A109,'Midterm 1'!U$47," ")</f>
        <v xml:space="preserve"> </v>
      </c>
      <c r="FG109" s="25" t="str">
        <f>IF('Midterm 1'!U$2=$A109,'Midterm 1'!U$47," ")</f>
        <v xml:space="preserve"> </v>
      </c>
      <c r="FH109" s="25" t="str">
        <f>IF('Midterm 1'!V$1=$A109,'Midterm 1'!V$47," ")</f>
        <v xml:space="preserve"> </v>
      </c>
      <c r="FI109" s="25" t="str">
        <f>IF('Midterm 1'!V$2=$A109,'Midterm 1'!V$47," ")</f>
        <v xml:space="preserve"> </v>
      </c>
      <c r="FJ109" s="25" t="str">
        <f>IF('Midterm 1'!W$1=$A109,'Midterm 1'!W$47," ")</f>
        <v xml:space="preserve"> </v>
      </c>
      <c r="FK109" s="25" t="str">
        <f>IF('Midterm 1'!W$2=$A109,'Midterm 1'!W$47," ")</f>
        <v xml:space="preserve"> </v>
      </c>
      <c r="FL109" s="25" t="str">
        <f>IF('Midterm 1'!X$1=$A109,'Midterm 1'!X$47," ")</f>
        <v xml:space="preserve"> </v>
      </c>
      <c r="FM109" s="25" t="str">
        <f>IF('Midterm 1'!X$2=$A109,'Midterm 1'!X$47," ")</f>
        <v xml:space="preserve"> </v>
      </c>
      <c r="FN109" s="25" t="str">
        <f>IF('Midterm 1'!Y$1=$A109,'Midterm 1'!Y$47," ")</f>
        <v xml:space="preserve"> </v>
      </c>
      <c r="FO109" s="25" t="str">
        <f>IF('Midterm 1'!Y$2=$A109,'Midterm 1'!Y$47," ")</f>
        <v xml:space="preserve"> </v>
      </c>
      <c r="FP109" s="25" t="str">
        <f>IF('Midterm 1'!Z$1=$A109,'Midterm 1'!Z$47," ")</f>
        <v xml:space="preserve"> </v>
      </c>
      <c r="FQ109" s="25" t="str">
        <f>IF('Midterm 1'!Z$2=$A109,'Midterm 1'!Z$47," ")</f>
        <v xml:space="preserve"> </v>
      </c>
      <c r="FR109" s="25" t="str">
        <f>IF('Midterm 1'!AA$1=$A109,'Midterm 1'!AA$47," ")</f>
        <v xml:space="preserve"> </v>
      </c>
      <c r="FS109" s="25" t="str">
        <f>IF('Midterm 1'!AA$2=$A109,'Midterm 1'!AA$47," ")</f>
        <v xml:space="preserve"> </v>
      </c>
      <c r="FT109" s="25" t="str">
        <f>IF('Midterm 1'!AB$1=$A109,'Midterm 1'!AB$47," ")</f>
        <v xml:space="preserve"> </v>
      </c>
      <c r="FU109" s="25" t="str">
        <f>IF('Midterm 1'!AB$2=$A109,'Midterm 1'!AB$47," ")</f>
        <v xml:space="preserve"> </v>
      </c>
      <c r="FV109" s="25" t="str">
        <f>IF('Midterm 1'!AC$1=$A109,'Midterm 1'!AC$47," ")</f>
        <v xml:space="preserve"> </v>
      </c>
      <c r="FW109" s="25" t="str">
        <f>IF('Midterm 1'!AC$2=$A109,'Midterm 1'!AC$47," ")</f>
        <v xml:space="preserve"> </v>
      </c>
      <c r="FX109" s="25" t="str">
        <f>IF('Midterm 1'!AD$1=$A109,'Midterm 1'!AD$47," ")</f>
        <v xml:space="preserve"> </v>
      </c>
      <c r="FY109" s="25" t="str">
        <f>IF('Midterm 1'!AD$2=$A109,'Midterm 1'!AD$47," ")</f>
        <v xml:space="preserve"> </v>
      </c>
      <c r="FZ109" s="25" t="str">
        <f>IF('Midterm 1'!AE$1=$A109,'Midterm 1'!AE$47," ")</f>
        <v xml:space="preserve"> </v>
      </c>
      <c r="GA109" s="25" t="str">
        <f>IF('Midterm 1'!AE$2=$A109,'Midterm 1'!AE$47," ")</f>
        <v xml:space="preserve"> </v>
      </c>
      <c r="GB109" s="25" t="str">
        <f>IF('Midterm 1'!AF$1=$A109,'Midterm 1'!AF$47," ")</f>
        <v xml:space="preserve"> </v>
      </c>
      <c r="GC109" s="25" t="str">
        <f>IF('Midterm 1'!AF$2=$A109,'Midterm 1'!AF$47," ")</f>
        <v xml:space="preserve"> </v>
      </c>
      <c r="GE109" s="25" t="str">
        <f>IF('Midterm 2'!C$1=$A109,'Midterm 2'!C$47," ")</f>
        <v xml:space="preserve"> </v>
      </c>
      <c r="GF109" s="25" t="str">
        <f>IF('Midterm 2'!C$2=$A109,'Midterm 2'!C$47," ")</f>
        <v xml:space="preserve"> </v>
      </c>
      <c r="GG109" s="25" t="str">
        <f>IF('Midterm 2'!D$1=$A109,'Midterm 2'!D$47," ")</f>
        <v xml:space="preserve"> </v>
      </c>
      <c r="GH109" s="25" t="str">
        <f>IF('Midterm 2'!D$2=$A109,'Midterm 2'!D$47," ")</f>
        <v xml:space="preserve"> </v>
      </c>
      <c r="GI109" s="25" t="str">
        <f>IF('Midterm 2'!E$1=$A109,'Midterm 2'!E$47," ")</f>
        <v xml:space="preserve"> </v>
      </c>
      <c r="GJ109" s="25" t="str">
        <f>IF('Midterm 2'!E$2=$A109,'Midterm 2'!E$47," ")</f>
        <v xml:space="preserve"> </v>
      </c>
      <c r="GK109" s="25" t="str">
        <f>IF('Midterm 2'!F$1=$A109,'Midterm 2'!F$47," ")</f>
        <v xml:space="preserve"> </v>
      </c>
      <c r="GL109" s="25" t="str">
        <f>IF('Midterm 2'!F$2=$A109,'Midterm 2'!F$47," ")</f>
        <v xml:space="preserve"> </v>
      </c>
      <c r="GM109" s="25" t="str">
        <f>IF('Midterm 2'!G$1=$A109,'Midterm 2'!G$47," ")</f>
        <v xml:space="preserve"> </v>
      </c>
      <c r="GN109" s="25" t="str">
        <f>IF('Midterm 2'!G$2=$A109,'Midterm 2'!G$47," ")</f>
        <v xml:space="preserve"> </v>
      </c>
      <c r="GO109" s="25" t="str">
        <f>IF('Midterm 2'!H$1=$A109,'Midterm 2'!H$47," ")</f>
        <v xml:space="preserve"> </v>
      </c>
      <c r="GP109" s="25" t="str">
        <f>IF('Midterm 2'!H$2=$A109,'Midterm 2'!H$47," ")</f>
        <v xml:space="preserve"> </v>
      </c>
      <c r="GQ109" s="25" t="str">
        <f>IF('Midterm 2'!I$1=$A109,'Midterm 2'!I$47," ")</f>
        <v xml:space="preserve"> </v>
      </c>
      <c r="GR109" s="25" t="str">
        <f>IF('Midterm 2'!I$2=$A109,'Midterm 2'!I$47," ")</f>
        <v xml:space="preserve"> </v>
      </c>
      <c r="GS109" s="25" t="str">
        <f>IF('Midterm 2'!J$1=$A109,'Midterm 2'!J$47," ")</f>
        <v xml:space="preserve"> </v>
      </c>
      <c r="GT109" s="25" t="str">
        <f>IF('Midterm 2'!J$2=$A109,'Midterm 2'!J$47," ")</f>
        <v xml:space="preserve"> </v>
      </c>
      <c r="GU109" s="25" t="str">
        <f>IF('Midterm 2'!K$1=$A109,'Midterm 2'!K$47," ")</f>
        <v xml:space="preserve"> </v>
      </c>
      <c r="GV109" s="25" t="str">
        <f>IF('Midterm 2'!K$2=$A109,'Midterm 2'!K$47," ")</f>
        <v xml:space="preserve"> </v>
      </c>
      <c r="GW109" s="25" t="str">
        <f>IF('Midterm 2'!L$1=$A109,'Midterm 2'!L$47," ")</f>
        <v xml:space="preserve"> </v>
      </c>
      <c r="GX109" s="25" t="str">
        <f>IF('Midterm 2'!L$2=$A109,'Midterm 2'!L$47," ")</f>
        <v xml:space="preserve"> </v>
      </c>
      <c r="GY109" s="25" t="str">
        <f>IF('Midterm 2'!M$1=$A109,'Midterm 2'!M$47," ")</f>
        <v xml:space="preserve"> </v>
      </c>
      <c r="GZ109" s="25" t="str">
        <f>IF('Midterm 2'!M$2=$A109,'Midterm 2'!M$47," ")</f>
        <v xml:space="preserve"> </v>
      </c>
      <c r="HA109" s="25" t="str">
        <f>IF('Midterm 2'!N$1=$A109,'Midterm 2'!N$47," ")</f>
        <v xml:space="preserve"> </v>
      </c>
      <c r="HB109" s="25" t="str">
        <f>IF('Midterm 2'!N$2=$A109,'Midterm 2'!N$47," ")</f>
        <v xml:space="preserve"> </v>
      </c>
      <c r="HC109" s="25" t="str">
        <f>IF('Midterm 2'!O$1=$A109,'Midterm 2'!O$47," ")</f>
        <v xml:space="preserve"> </v>
      </c>
      <c r="HD109" s="25" t="str">
        <f>IF('Midterm 2'!O$2=$A109,'Midterm 2'!O$47," ")</f>
        <v xml:space="preserve"> </v>
      </c>
      <c r="HE109" s="25" t="str">
        <f>IF('Midterm 2'!P$1=$A109,'Midterm 2'!P$47," ")</f>
        <v xml:space="preserve"> </v>
      </c>
      <c r="HF109" s="25" t="str">
        <f>IF('Midterm 2'!P$2=$A109,'Midterm 2'!P$47," ")</f>
        <v xml:space="preserve"> </v>
      </c>
      <c r="HG109" s="25" t="str">
        <f>IF('Midterm 2'!Q$1=$A109,'Midterm 2'!Q$47," ")</f>
        <v xml:space="preserve"> </v>
      </c>
      <c r="HH109" s="25" t="str">
        <f>IF('Midterm 2'!Q$2=$A109,'Midterm 2'!Q$47," ")</f>
        <v xml:space="preserve"> </v>
      </c>
      <c r="HI109" s="25" t="str">
        <f>IF('Midterm 2'!R$1=$A109,'Midterm 2'!R$47," ")</f>
        <v xml:space="preserve"> </v>
      </c>
      <c r="HJ109" s="25" t="str">
        <f>IF('Midterm 2'!R$2=$A109,'Midterm 2'!R$47," ")</f>
        <v xml:space="preserve"> </v>
      </c>
      <c r="HK109" s="25" t="str">
        <f>IF('Midterm 2'!S$1=$A109,'Midterm 2'!S$47," ")</f>
        <v xml:space="preserve"> </v>
      </c>
      <c r="HL109" s="25" t="str">
        <f>IF('Midterm 2'!S$2=$A109,'Midterm 2'!S$47," ")</f>
        <v xml:space="preserve"> </v>
      </c>
      <c r="HM109" s="25" t="str">
        <f>IF('Midterm 2'!T$1=$A109,'Midterm 2'!T$47," ")</f>
        <v xml:space="preserve"> </v>
      </c>
      <c r="HN109" s="25" t="str">
        <f>IF('Midterm 2'!T$2=$A109,'Midterm 2'!T$47," ")</f>
        <v xml:space="preserve"> </v>
      </c>
      <c r="HO109" s="25" t="str">
        <f>IF('Midterm 2'!U$1=$A109,'Midterm 2'!U$47," ")</f>
        <v xml:space="preserve"> </v>
      </c>
      <c r="HP109" s="25" t="str">
        <f>IF('Midterm 2'!U$2=$A109,'Midterm 2'!U$47," ")</f>
        <v xml:space="preserve"> </v>
      </c>
      <c r="HQ109" s="25" t="str">
        <f>IF('Midterm 2'!V$1=$A109,'Midterm 2'!V$47," ")</f>
        <v xml:space="preserve"> </v>
      </c>
      <c r="HR109" s="25" t="str">
        <f>IF('Midterm 2'!V$2=$A109,'Midterm 2'!V$47," ")</f>
        <v xml:space="preserve"> </v>
      </c>
      <c r="HS109" s="25" t="str">
        <f>IF('Midterm 2'!W$1=$A109,'Midterm 2'!W$47," ")</f>
        <v xml:space="preserve"> </v>
      </c>
      <c r="HT109" s="25" t="str">
        <f>IF('Midterm 2'!W$2=$A109,'Midterm 2'!W$47," ")</f>
        <v xml:space="preserve"> </v>
      </c>
      <c r="HU109" s="25" t="str">
        <f>IF('Midterm 2'!X$1=$A109,'Midterm 2'!X$47," ")</f>
        <v xml:space="preserve"> </v>
      </c>
      <c r="HV109" s="25" t="str">
        <f>IF('Midterm 2'!X$2=$A109,'Midterm 2'!X$47," ")</f>
        <v xml:space="preserve"> </v>
      </c>
      <c r="HW109" s="25" t="str">
        <f>IF('Midterm 2'!Y$1=$A109,'Midterm 2'!Y$47," ")</f>
        <v xml:space="preserve"> </v>
      </c>
      <c r="HX109" s="25" t="str">
        <f>IF('Midterm 2'!Y$2=$A109,'Midterm 2'!Y$47," ")</f>
        <v xml:space="preserve"> </v>
      </c>
      <c r="HY109" s="25" t="str">
        <f>IF('Midterm 2'!Z$1=$A109,'Midterm 2'!Z$47," ")</f>
        <v xml:space="preserve"> </v>
      </c>
      <c r="HZ109" s="25" t="str">
        <f>IF('Midterm 2'!Z$2=$A109,'Midterm 2'!Z$47," ")</f>
        <v xml:space="preserve"> </v>
      </c>
      <c r="IA109" s="25" t="str">
        <f>IF('Midterm 2'!AA$1=$A109,'Midterm 2'!AA$47," ")</f>
        <v xml:space="preserve"> </v>
      </c>
      <c r="IB109" s="25" t="str">
        <f>IF('Midterm 2'!AA$2=$A109,'Midterm 2'!AA$47," ")</f>
        <v xml:space="preserve"> </v>
      </c>
      <c r="IC109" s="25" t="str">
        <f>IF('Midterm 2'!AB$1=$A109,'Midterm 2'!AB$47," ")</f>
        <v xml:space="preserve"> </v>
      </c>
      <c r="ID109" s="25" t="str">
        <f>IF('Midterm 2'!AB$2=$A109,'Midterm 2'!AB$47," ")</f>
        <v xml:space="preserve"> </v>
      </c>
      <c r="IE109" s="25" t="str">
        <f>IF('Midterm 2'!AC$1=$A109,'Midterm 2'!AC$47," ")</f>
        <v xml:space="preserve"> </v>
      </c>
      <c r="IF109" s="25" t="str">
        <f>IF('Midterm 2'!AC$2=$A109,'Midterm 2'!AC$47," ")</f>
        <v xml:space="preserve"> </v>
      </c>
      <c r="IG109" s="25" t="str">
        <f>IF('Midterm 2'!AD$1=$A109,'Midterm 2'!AD$47," ")</f>
        <v xml:space="preserve"> </v>
      </c>
      <c r="IH109" s="25" t="str">
        <f>IF('Midterm 2'!AD$2=$A109,'Midterm 2'!AD$47," ")</f>
        <v xml:space="preserve"> </v>
      </c>
      <c r="II109" s="25" t="str">
        <f>IF('Midterm 2'!AE$1=$A109,'Midterm 2'!AE$47," ")</f>
        <v xml:space="preserve"> </v>
      </c>
      <c r="IJ109" s="25" t="str">
        <f>IF('Midterm 2'!AE$2=$A109,'Midterm 2'!AE$47," ")</f>
        <v xml:space="preserve"> </v>
      </c>
      <c r="IK109" s="25" t="str">
        <f>IF('Midterm 2'!AF$1=$A109,'Midterm 2'!AF$47," ")</f>
        <v xml:space="preserve"> </v>
      </c>
      <c r="IL109" s="25" t="str">
        <f>IF('Midterm 2'!AF$2=$A109,'Midterm 2'!AF$47," ")</f>
        <v xml:space="preserve"> </v>
      </c>
      <c r="IM109" s="25" t="str">
        <f>IF('Midterm 2'!AG$1=$A109,'Midterm 2'!AG$47," ")</f>
        <v xml:space="preserve"> </v>
      </c>
      <c r="IN109" s="25" t="str">
        <f>IF('Midterm 2'!AG$2=$A109,'Midterm 2'!AG$47," ")</f>
        <v xml:space="preserve"> </v>
      </c>
      <c r="IO109" s="25" t="str">
        <f>IF('Midterm 2'!AH$1=$A109,'Midterm 2'!AH$47," ")</f>
        <v xml:space="preserve"> </v>
      </c>
      <c r="IP109" s="25" t="str">
        <f>IF('Midterm 2'!AH$2=$A109,'Midterm 2'!AF$47," ")</f>
        <v xml:space="preserve"> </v>
      </c>
      <c r="IR109" s="54" t="str">
        <f>IF('Final Exam'!C$1=$A109,'Final Exam'!C$46," ")</f>
        <v xml:space="preserve"> </v>
      </c>
      <c r="IS109" s="54" t="str">
        <f>IF('Final Exam'!C$2=$A109,'Final Exam'!C$46," ")</f>
        <v xml:space="preserve"> </v>
      </c>
      <c r="IT109" s="54" t="str">
        <f>IF('Final Exam'!D$1=$A109,'Final Exam'!D$46," ")</f>
        <v xml:space="preserve"> </v>
      </c>
      <c r="IU109" s="54" t="str">
        <f>IF('Final Exam'!D$2=$A109,'Final Exam'!D$46," ")</f>
        <v xml:space="preserve"> </v>
      </c>
      <c r="IV109" s="54" t="str">
        <f>IF('Final Exam'!E$1=$A109,'Final Exam'!E$46," ")</f>
        <v xml:space="preserve"> </v>
      </c>
      <c r="IW109" s="54" t="str">
        <f>IF('Final Exam'!E$2=$A109,'Final Exam'!E$46," ")</f>
        <v xml:space="preserve"> </v>
      </c>
      <c r="IX109" s="54" t="str">
        <f>IF('Final Exam'!F$1=$A109,'Final Exam'!F$46," ")</f>
        <v xml:space="preserve"> </v>
      </c>
      <c r="IY109" s="54" t="str">
        <f>IF('Final Exam'!F$2=$A109,'Final Exam'!F$46," ")</f>
        <v xml:space="preserve"> </v>
      </c>
      <c r="IZ109" s="54" t="str">
        <f>IF('Final Exam'!G$1=$A109,'Final Exam'!G$46," ")</f>
        <v xml:space="preserve"> </v>
      </c>
      <c r="JA109" s="54" t="str">
        <f>IF('Final Exam'!G$2=$A109,'Final Exam'!G$46," ")</f>
        <v xml:space="preserve"> </v>
      </c>
      <c r="JB109" s="54" t="str">
        <f>IF('Final Exam'!H$1=$A109,'Final Exam'!G$46," ")</f>
        <v xml:space="preserve"> </v>
      </c>
      <c r="JC109" s="54" t="str">
        <f>IF('Final Exam'!H$2=$A109,'Final Exam'!H$46," ")</f>
        <v xml:space="preserve"> </v>
      </c>
      <c r="JD109" s="54" t="str">
        <f>IF('Final Exam'!I$1=$A109,'Final Exam'!I$46," ")</f>
        <v xml:space="preserve"> </v>
      </c>
      <c r="JE109" s="54" t="str">
        <f>IF('Final Exam'!I$2=$A109,'Final Exam'!I$46," ")</f>
        <v xml:space="preserve"> </v>
      </c>
      <c r="JF109" s="54" t="str">
        <f>IF('Final Exam'!J$1=$A109,'Final Exam'!J$46," ")</f>
        <v xml:space="preserve"> </v>
      </c>
      <c r="JG109" s="54" t="str">
        <f>IF('Final Exam'!J$2=$A109,'Final Exam'!J$46," ")</f>
        <v xml:space="preserve"> </v>
      </c>
      <c r="JH109" s="54" t="str">
        <f>IF('Final Exam'!K$1=$A109,'Final Exam'!K$46," ")</f>
        <v xml:space="preserve"> </v>
      </c>
      <c r="JI109" s="54" t="str">
        <f>IF('Final Exam'!K$2=$A109,'Final Exam'!K$46," ")</f>
        <v xml:space="preserve"> </v>
      </c>
      <c r="JJ109" s="54" t="str">
        <f>IF('Final Exam'!L$1=$A109,'Final Exam'!L$46," ")</f>
        <v xml:space="preserve"> </v>
      </c>
      <c r="JK109" s="54" t="str">
        <f>IF('Final Exam'!L$2=$A109,'Final Exam'!L$46," ")</f>
        <v xml:space="preserve"> </v>
      </c>
      <c r="JL109" s="54" t="str">
        <f>IF('Final Exam'!M$1=$A109,'Final Exam'!M$46," ")</f>
        <v xml:space="preserve"> </v>
      </c>
      <c r="JM109" s="54" t="str">
        <f>IF('Final Exam'!M$2=$A109,'Final Exam'!M$46," ")</f>
        <v xml:space="preserve"> </v>
      </c>
      <c r="JN109" s="54" t="str">
        <f>IF('Final Exam'!N$1=$A109,'Final Exam'!N$46," ")</f>
        <v xml:space="preserve"> </v>
      </c>
      <c r="JO109" s="54" t="str">
        <f>IF('Final Exam'!N$2=$A109,'Final Exam'!N$46," ")</f>
        <v xml:space="preserve"> </v>
      </c>
      <c r="JP109" s="54" t="str">
        <f>IF('Final Exam'!O$1=$A109,'Final Exam'!O$46," ")</f>
        <v xml:space="preserve"> </v>
      </c>
      <c r="JQ109" s="54" t="str">
        <f>IF('Final Exam'!O$2=$A109,'Final Exam'!O$46," ")</f>
        <v xml:space="preserve"> </v>
      </c>
      <c r="JR109" s="54" t="str">
        <f>IF('Final Exam'!P$1=$A109,'Final Exam'!P$46," ")</f>
        <v xml:space="preserve"> </v>
      </c>
      <c r="JS109" s="54" t="str">
        <f>IF('Final Exam'!P$2=$A109,'Final Exam'!P$46," ")</f>
        <v xml:space="preserve"> </v>
      </c>
      <c r="JT109" s="54" t="str">
        <f>IF('Final Exam'!Q$1=$A109,'Final Exam'!Q$46," ")</f>
        <v xml:space="preserve"> </v>
      </c>
      <c r="JU109" s="54" t="str">
        <f>IF('Final Exam'!Q$2=$A109,'Final Exam'!Q$46," ")</f>
        <v xml:space="preserve"> </v>
      </c>
      <c r="JV109" s="54" t="str">
        <f>IF('Final Exam'!R$1=$A109,'Final Exam'!R$46," ")</f>
        <v xml:space="preserve"> </v>
      </c>
      <c r="JW109" s="54" t="str">
        <f>IF('Final Exam'!R$2=$A109,'Final Exam'!R$46," ")</f>
        <v xml:space="preserve"> </v>
      </c>
      <c r="JX109" s="54" t="str">
        <f>IF('Final Exam'!S$1=$A109,'Final Exam'!S$46," ")</f>
        <v xml:space="preserve"> </v>
      </c>
      <c r="JY109" s="54" t="str">
        <f>IF('Final Exam'!S$2=$A109,'Final Exam'!S$46," ")</f>
        <v xml:space="preserve"> </v>
      </c>
      <c r="JZ109" s="54" t="str">
        <f>IF('Final Exam'!T$1=$A109,'Final Exam'!T$46," ")</f>
        <v xml:space="preserve"> </v>
      </c>
      <c r="KA109" s="54" t="str">
        <f>IF('Final Exam'!T$2=$A109,'Final Exam'!T$46," ")</f>
        <v xml:space="preserve"> </v>
      </c>
      <c r="KB109" s="54" t="str">
        <f>IF('Final Exam'!U$1=$A109,'Final Exam'!U$46," ")</f>
        <v xml:space="preserve"> </v>
      </c>
      <c r="KC109" s="54" t="str">
        <f>IF('Final Exam'!U$2=$A109,'Final Exam'!U$46," ")</f>
        <v xml:space="preserve"> </v>
      </c>
      <c r="KD109" s="54" t="str">
        <f>IF('Final Exam'!V$1=$A109,'Final Exam'!V$46," ")</f>
        <v xml:space="preserve"> </v>
      </c>
      <c r="KE109" s="54" t="str">
        <f>IF('Final Exam'!V$2=$A109,'Final Exam'!V$46," ")</f>
        <v xml:space="preserve"> </v>
      </c>
      <c r="KF109" s="54" t="str">
        <f>IF('Final Exam'!W$1=$A109,'Final Exam'!W$46," ")</f>
        <v xml:space="preserve"> </v>
      </c>
      <c r="KG109" s="54" t="str">
        <f>IF('Final Exam'!W$2=$A109,'Final Exam'!W$46," ")</f>
        <v xml:space="preserve"> </v>
      </c>
      <c r="KH109" s="54" t="str">
        <f>IF('Final Exam'!X$1=$A109,'Final Exam'!X$46," ")</f>
        <v xml:space="preserve"> </v>
      </c>
      <c r="KI109" s="54" t="str">
        <f>IF('Final Exam'!X$2=$A109,'Final Exam'!X$46," ")</f>
        <v xml:space="preserve"> </v>
      </c>
      <c r="KJ109" s="54" t="str">
        <f>IF('Final Exam'!Y$1=$A109,'Final Exam'!Y$46," ")</f>
        <v xml:space="preserve"> </v>
      </c>
      <c r="KK109" s="54" t="str">
        <f>IF('Final Exam'!Y$2=$A109,'Final Exam'!Y$46," ")</f>
        <v xml:space="preserve"> </v>
      </c>
      <c r="KL109" s="54" t="str">
        <f>IF('Final Exam'!Z$1=$A109,'Final Exam'!Z$46," ")</f>
        <v xml:space="preserve"> </v>
      </c>
      <c r="KM109" s="54" t="str">
        <f>IF('Final Exam'!Z$2=$A109,'Final Exam'!Z$46," ")</f>
        <v xml:space="preserve"> </v>
      </c>
      <c r="KN109" s="54" t="str">
        <f>IF('Final Exam'!AA$1=$A109,'Final Exam'!AA$46," ")</f>
        <v xml:space="preserve"> </v>
      </c>
      <c r="KO109" s="54" t="str">
        <f>IF('Final Exam'!AA$2=$A109,'Final Exam'!AA$46," ")</f>
        <v xml:space="preserve"> </v>
      </c>
      <c r="KP109" s="54" t="str">
        <f>IF('Final Exam'!AB$1=$A109,'Final Exam'!AB$46," ")</f>
        <v xml:space="preserve"> </v>
      </c>
      <c r="KQ109" s="54" t="str">
        <f>IF('Final Exam'!AB$2=$A109,'Final Exam'!AB$46," ")</f>
        <v xml:space="preserve"> </v>
      </c>
      <c r="KR109" s="54" t="str">
        <f>IF('Final Exam'!AC$1=$A109,'Final Exam'!AC$46," ")</f>
        <v xml:space="preserve"> </v>
      </c>
      <c r="KS109" s="54" t="str">
        <f>IF('Final Exam'!AC$2=$A109,'Final Exam'!AC$46," ")</f>
        <v xml:space="preserve"> </v>
      </c>
      <c r="KT109" s="54" t="str">
        <f>IF('Final Exam'!AD$1=$A109,'Final Exam'!AD$46," ")</f>
        <v xml:space="preserve"> </v>
      </c>
      <c r="KU109" s="54" t="str">
        <f>IF('Final Exam'!AD$2=$A109,'Final Exam'!AD$46," ")</f>
        <v xml:space="preserve"> </v>
      </c>
      <c r="KV109" s="54" t="str">
        <f>IF('Final Exam'!AE$1=$A109,'Final Exam'!AE$46," ")</f>
        <v xml:space="preserve"> </v>
      </c>
      <c r="KW109" s="54" t="str">
        <f>IF('Final Exam'!AE$2=$A109,'Final Exam'!AE$46," ")</f>
        <v xml:space="preserve"> </v>
      </c>
      <c r="KX109" s="54" t="str">
        <f>IF('Final Exam'!AF$1=$A109,'Final Exam'!AF$46," ")</f>
        <v xml:space="preserve"> </v>
      </c>
      <c r="KY109" s="54" t="str">
        <f>IF('Final Exam'!AF$2=$A109,'Final Exam'!AF$46," ")</f>
        <v xml:space="preserve"> </v>
      </c>
      <c r="KZ109" s="54" t="str">
        <f>IF('Final Exam'!AG$1=$A109,'Final Exam'!AG$46," ")</f>
        <v xml:space="preserve"> </v>
      </c>
      <c r="LA109" s="54" t="str">
        <f>IF('Final Exam'!AG$2=$A109,'Final Exam'!AG$46," ")</f>
        <v xml:space="preserve"> </v>
      </c>
      <c r="LC109" s="180" t="str">
        <f>IF('Incomplete Final'!C$1=$A109,'Incomplete Final'!C$46," ")</f>
        <v xml:space="preserve"> </v>
      </c>
      <c r="LD109" s="180" t="str">
        <f>IF('Incomplete Final'!C$2=$A109,'Incomplete Final'!C$46," ")</f>
        <v xml:space="preserve"> </v>
      </c>
      <c r="LE109" s="180" t="str">
        <f>IF('Incomplete Final'!D$1=$A109,'Incomplete Final'!D$46," ")</f>
        <v xml:space="preserve"> </v>
      </c>
      <c r="LF109" s="180" t="str">
        <f>IF('Incomplete Final'!D$2=$A109,'Incomplete Final'!D$46," ")</f>
        <v xml:space="preserve"> </v>
      </c>
      <c r="LG109" s="180" t="str">
        <f>IF('Incomplete Final'!E$1=$A109,'Incomplete Final'!E$46," ")</f>
        <v xml:space="preserve"> </v>
      </c>
      <c r="LH109" s="180" t="str">
        <f>IF('Incomplete Final'!E$2=$A109,'Incomplete Final'!E$46," ")</f>
        <v xml:space="preserve"> </v>
      </c>
      <c r="LI109" s="180" t="str">
        <f>IF('Incomplete Final'!F$1=$A109,'Incomplete Final'!F$46," ")</f>
        <v xml:space="preserve"> </v>
      </c>
      <c r="LJ109" s="180" t="str">
        <f>IF('Incomplete Final'!F$2=$A109,'Incomplete Final'!F$46," ")</f>
        <v xml:space="preserve"> </v>
      </c>
      <c r="LK109" s="180" t="str">
        <f>IF('Incomplete Final'!G$1=$A109,'Incomplete Final'!G$46," ")</f>
        <v xml:space="preserve"> </v>
      </c>
      <c r="LL109" s="180" t="str">
        <f>IF('Incomplete Final'!G$2=$A109,'Incomplete Final'!G$46," ")</f>
        <v xml:space="preserve"> </v>
      </c>
      <c r="LM109" s="180" t="str">
        <f>IF('Incomplete Final'!H$1=$A109,'Incomplete Final'!H$46," ")</f>
        <v xml:space="preserve"> </v>
      </c>
      <c r="LN109" s="180" t="str">
        <f>IF('Incomplete Final'!H$2=$A109,'Incomplete Final'!H$46," ")</f>
        <v xml:space="preserve"> </v>
      </c>
      <c r="LO109" s="180" t="str">
        <f>IF('Incomplete Final'!I$1=$A109,'Incomplete Final'!I$46," ")</f>
        <v xml:space="preserve"> </v>
      </c>
      <c r="LP109" s="180" t="str">
        <f>IF('Incomplete Final'!I$2=$A109,'Incomplete Final'!I$46," ")</f>
        <v xml:space="preserve"> </v>
      </c>
      <c r="LQ109" s="180" t="str">
        <f>IF('Incomplete Final'!J$1=$A109,'Incomplete Final'!J$46," ")</f>
        <v xml:space="preserve"> </v>
      </c>
      <c r="LR109" s="180" t="str">
        <f>IF('Incomplete Final'!J$2=$A109,'Incomplete Final'!J$46," ")</f>
        <v xml:space="preserve"> </v>
      </c>
      <c r="LS109" s="180" t="str">
        <f>IF('Incomplete Final'!K$1=$A109,'Incomplete Final'!K$46," ")</f>
        <v xml:space="preserve"> </v>
      </c>
      <c r="LT109" s="180" t="str">
        <f>IF('Incomplete Final'!K$2=$A109,'Incomplete Final'!K$46," ")</f>
        <v xml:space="preserve"> </v>
      </c>
      <c r="LU109" s="180" t="str">
        <f>IF('Incomplete Final'!L$1=$A109,'Incomplete Final'!L$46," ")</f>
        <v xml:space="preserve"> </v>
      </c>
      <c r="LV109" s="180" t="str">
        <f>IF('Incomplete Final'!L$2=$A109,'Incomplete Final'!L$46," ")</f>
        <v xml:space="preserve"> </v>
      </c>
      <c r="LW109" s="180" t="str">
        <f>IF('Incomplete Final'!M$1=$A109,'Incomplete Final'!M$46," ")</f>
        <v xml:space="preserve"> </v>
      </c>
      <c r="LX109" s="180" t="str">
        <f>IF('Incomplete Final'!M$2=$A109,'Incomplete Final'!M$46," ")</f>
        <v xml:space="preserve"> </v>
      </c>
      <c r="LY109" s="180" t="str">
        <f>IF('Incomplete Final'!N$1=$A109,'Incomplete Final'!N$46," ")</f>
        <v xml:space="preserve"> </v>
      </c>
      <c r="LZ109" s="180" t="str">
        <f>IF('Incomplete Final'!N$2=$A109,'Incomplete Final'!N$46," ")</f>
        <v xml:space="preserve"> </v>
      </c>
      <c r="MA109" s="180" t="str">
        <f>IF('Incomplete Final'!O$1=$A109,'Incomplete Final'!O$46," ")</f>
        <v xml:space="preserve"> </v>
      </c>
      <c r="MB109" s="180" t="str">
        <f>IF('Incomplete Final'!O$2=$A109,'Incomplete Final'!AB$46," ")</f>
        <v xml:space="preserve"> </v>
      </c>
      <c r="MC109" s="180" t="str">
        <f>IF('Incomplete Final'!P$1=$A109,'Incomplete Final'!P$46," ")</f>
        <v xml:space="preserve"> </v>
      </c>
      <c r="MD109" s="180" t="str">
        <f>IF('Incomplete Final'!P$2=$A109,'Incomplete Final'!P$46," ")</f>
        <v xml:space="preserve"> </v>
      </c>
      <c r="ME109" s="180" t="str">
        <f>IF('Incomplete Final'!Q$1=$A109,'Incomplete Final'!Q$46," ")</f>
        <v xml:space="preserve"> </v>
      </c>
      <c r="MF109" s="180" t="str">
        <f>IF('Incomplete Final'!Q$2=$A109,'Incomplete Final'!Q$46," ")</f>
        <v xml:space="preserve"> </v>
      </c>
      <c r="MG109" s="180" t="str">
        <f>IF('Incomplete Final'!R$1=$A109,'Incomplete Final'!R$46," ")</f>
        <v xml:space="preserve"> </v>
      </c>
      <c r="MH109" s="180" t="str">
        <f>IF('Incomplete Final'!R$2=$A109,'Incomplete Final'!R$46," ")</f>
        <v xml:space="preserve"> </v>
      </c>
      <c r="MI109" s="180" t="str">
        <f>IF('Incomplete Final'!S$1=$A109,'Incomplete Final'!S$46," ")</f>
        <v xml:space="preserve"> </v>
      </c>
      <c r="MJ109" s="180" t="str">
        <f>IF('Incomplete Final'!S$2=$A109,'Incomplete Final'!S$46," ")</f>
        <v xml:space="preserve"> </v>
      </c>
      <c r="MK109" s="180" t="str">
        <f>IF('Incomplete Final'!T$1=$A109,'Incomplete Final'!T$46," ")</f>
        <v xml:space="preserve"> </v>
      </c>
      <c r="ML109" s="180" t="str">
        <f>IF('Incomplete Final'!T$2=$A109,'Incomplete Final'!T$46," ")</f>
        <v xml:space="preserve"> </v>
      </c>
      <c r="MM109" s="180" t="str">
        <f>IF('Incomplete Final'!U$1=$A109,'Incomplete Final'!U$46," ")</f>
        <v xml:space="preserve"> </v>
      </c>
      <c r="MN109" s="180" t="str">
        <f>IF('Incomplete Final'!U$2=$A109,'Incomplete Final'!U$46," ")</f>
        <v xml:space="preserve"> </v>
      </c>
      <c r="MO109" s="180" t="str">
        <f>IF('Incomplete Final'!V$1=$A109,'Incomplete Final'!V$46," ")</f>
        <v xml:space="preserve"> </v>
      </c>
      <c r="MP109" s="180" t="str">
        <f>IF('Incomplete Final'!V$2=$A109,'Incomplete Final'!V$46," ")</f>
        <v xml:space="preserve"> </v>
      </c>
      <c r="MQ109" s="180" t="str">
        <f>IF('Incomplete Final'!W$1=$A109,'Incomplete Final'!W$46," ")</f>
        <v xml:space="preserve"> </v>
      </c>
      <c r="MR109" s="180" t="str">
        <f>IF('Incomplete Final'!W$2=$A109,'Incomplete Final'!W$46," ")</f>
        <v xml:space="preserve"> </v>
      </c>
      <c r="MS109" s="180" t="str">
        <f>IF('Incomplete Final'!X$1=$A109,'Incomplete Final'!X$46," ")</f>
        <v xml:space="preserve"> </v>
      </c>
      <c r="MT109" s="180" t="str">
        <f>IF('Incomplete Final'!X$2=$A109,'Incomplete Final'!X$46," ")</f>
        <v xml:space="preserve"> </v>
      </c>
      <c r="MU109" s="180" t="str">
        <f>IF('Incomplete Final'!Y$1=$A109,'Incomplete Final'!Y$46," ")</f>
        <v xml:space="preserve"> </v>
      </c>
      <c r="MV109" s="180" t="str">
        <f>IF('Incomplete Final'!Y$2=$A109,'Incomplete Final'!Y$46," ")</f>
        <v xml:space="preserve"> </v>
      </c>
      <c r="MW109" s="180" t="str">
        <f>IF('Incomplete Final'!Z$1=$A109,'Incomplete Final'!Z$46," ")</f>
        <v xml:space="preserve"> </v>
      </c>
      <c r="MX109" s="180" t="str">
        <f>IF('Incomplete Final'!Z$2=$A109,'Incomplete Final'!Z$46," ")</f>
        <v xml:space="preserve"> </v>
      </c>
      <c r="MY109" s="180" t="str">
        <f>IF('Incomplete Final'!AA$1=$A109,'Incomplete Final'!AA$46," ")</f>
        <v xml:space="preserve"> </v>
      </c>
      <c r="MZ109" s="180" t="str">
        <f>IF('Incomplete Final'!AA$2=$A109,'Incomplete Final'!AA$46," ")</f>
        <v xml:space="preserve"> </v>
      </c>
      <c r="NA109" s="180" t="str">
        <f>IF('Incomplete Final'!AB$1=$A109,'Incomplete Final'!AB$46," ")</f>
        <v xml:space="preserve"> </v>
      </c>
      <c r="NB109" s="180" t="str">
        <f>IF('Incomplete Final'!AB$2=$A109,'Incomplete Final'!AB$46," ")</f>
        <v xml:space="preserve"> </v>
      </c>
      <c r="NC109" s="180" t="str">
        <f>IF('Incomplete Final'!AC$1=$A109,'Incomplete Final'!AC$46," ")</f>
        <v xml:space="preserve"> </v>
      </c>
      <c r="ND109" s="180" t="str">
        <f>IF('Incomplete Final'!AC$2=$A109,'Incomplete Final'!AC$46," ")</f>
        <v xml:space="preserve"> </v>
      </c>
      <c r="NE109" s="180" t="str">
        <f>IF('Incomplete Final'!AD$1=$A109,'Incomplete Final'!AD$46," ")</f>
        <v xml:space="preserve"> </v>
      </c>
      <c r="NF109" s="180" t="str">
        <f>IF('Incomplete Final'!AD$2=$A109,'Incomplete Final'!AD$46," ")</f>
        <v xml:space="preserve"> </v>
      </c>
      <c r="NG109" s="180" t="str">
        <f>IF('Incomplete Final'!AE$1=$A109,'Incomplete Final'!AE$46," ")</f>
        <v xml:space="preserve"> </v>
      </c>
      <c r="NH109" s="180" t="str">
        <f>IF('Incomplete Final'!AE$2=$A109,'Incomplete Final'!AE$46," ")</f>
        <v xml:space="preserve"> </v>
      </c>
      <c r="NI109" s="180" t="str">
        <f>IF('Incomplete Final'!AF$1=$A109,'Incomplete Final'!AF$46," ")</f>
        <v xml:space="preserve"> </v>
      </c>
      <c r="NJ109" s="180" t="str">
        <f>IF('Incomplete Final'!AF$2=$A109,'Incomplete Final'!AF$46," ")</f>
        <v xml:space="preserve"> </v>
      </c>
      <c r="NK109" s="180" t="str">
        <f>IF('Incomplete Final'!AG$1=$A109,'Incomplete Final'!AG$46," ")</f>
        <v xml:space="preserve"> </v>
      </c>
      <c r="NL109" s="180" t="str">
        <f>IF('Incomplete Final'!AG$2=$A109,'Incomplete Final'!AG$46," ")</f>
        <v xml:space="preserve"> </v>
      </c>
      <c r="NN109" s="53" t="str">
        <f>IF('Laboratory Final'!C$1=$A109,'Laboratory Final'!C$46," ")</f>
        <v xml:space="preserve"> </v>
      </c>
      <c r="NO109" s="53" t="str">
        <f>IF('Laboratory Final'!C$2=$A109,'Laboratory Final'!C$46," ")</f>
        <v xml:space="preserve"> </v>
      </c>
      <c r="NP109" s="53" t="str">
        <f>IF('Laboratory Final'!D$1=$A109,'Laboratory Final'!D$46," ")</f>
        <v xml:space="preserve"> </v>
      </c>
      <c r="NQ109" s="53" t="str">
        <f>IF('Laboratory Final'!D$2=$A109,'Laboratory Final'!D$46," ")</f>
        <v xml:space="preserve"> </v>
      </c>
      <c r="NR109" s="53" t="str">
        <f>IF('Laboratory Final'!E$1=$A109,'Laboratory Final'!E$46," ")</f>
        <v xml:space="preserve"> </v>
      </c>
      <c r="NS109" s="53" t="str">
        <f>IF('Laboratory Final'!E$2=$A109,'Laboratory Final'!E$46," ")</f>
        <v xml:space="preserve"> </v>
      </c>
      <c r="NT109" s="53" t="str">
        <f>IF('Laboratory Final'!F$1=$A109,'Laboratory Final'!F$46," ")</f>
        <v xml:space="preserve"> </v>
      </c>
      <c r="NU109" s="53" t="str">
        <f>IF('Laboratory Final'!F$2=$A109,'Laboratory Final'!F$46," ")</f>
        <v xml:space="preserve"> </v>
      </c>
      <c r="NV109" s="53" t="str">
        <f>IF('Laboratory Final'!G$1=$A109,'Laboratory Final'!G$46," ")</f>
        <v xml:space="preserve"> </v>
      </c>
      <c r="NW109" s="53" t="str">
        <f>IF('Laboratory Final'!G$2=$A109,'Laboratory Final'!G$46," ")</f>
        <v xml:space="preserve"> </v>
      </c>
      <c r="NX109" s="53" t="str">
        <f>IF('Laboratory Final'!H$1=$A109,'Laboratory Final'!H$46," ")</f>
        <v xml:space="preserve"> </v>
      </c>
      <c r="NY109" s="53" t="str">
        <f>IF('Laboratory Final'!H$2=$A109,'Laboratory Final'!H$46," ")</f>
        <v xml:space="preserve"> </v>
      </c>
      <c r="NZ109" s="53" t="str">
        <f>IF('Laboratory Final'!I$1=$A109,'Laboratory Final'!I$46," ")</f>
        <v xml:space="preserve"> </v>
      </c>
      <c r="OA109" s="53" t="str">
        <f>IF('Laboratory Final'!I$2=$A109,'Laboratory Final'!I$46," ")</f>
        <v xml:space="preserve"> </v>
      </c>
      <c r="OB109" s="53" t="str">
        <f>IF('Laboratory Final'!J$1=$A109,'Laboratory Final'!J$46," ")</f>
        <v xml:space="preserve"> </v>
      </c>
      <c r="OC109" s="53" t="str">
        <f>IF('Laboratory Final'!J$2=$A109,'Laboratory Final'!J$46," ")</f>
        <v xml:space="preserve"> </v>
      </c>
      <c r="OD109" s="53" t="str">
        <f>IF('Laboratory Final'!K$1=$A109,'Laboratory Final'!K$46," ")</f>
        <v xml:space="preserve"> </v>
      </c>
      <c r="OE109" s="53" t="str">
        <f>IF('Laboratory Final'!K$2=$A109,'Laboratory Final'!K$46," ")</f>
        <v xml:space="preserve"> </v>
      </c>
      <c r="OF109" s="53" t="str">
        <f>IF('Laboratory Final'!L$1=$A109,'Laboratory Final'!L$46," ")</f>
        <v xml:space="preserve"> </v>
      </c>
      <c r="OG109" s="53" t="str">
        <f>IF('Laboratory Final'!L$2=$A109,'Laboratory Final'!L$46," ")</f>
        <v xml:space="preserve"> </v>
      </c>
      <c r="OI109" s="192" t="e">
        <f t="shared" si="14"/>
        <v>#DIV/0!</v>
      </c>
    </row>
    <row r="110" spans="1:399" ht="18.75" x14ac:dyDescent="0.3">
      <c r="A110" s="48">
        <v>5</v>
      </c>
      <c r="B110" s="55">
        <f>IF(SUM(D110:LA110)=0,0,AVERAGE('Course Analysis'!D110:LA110))</f>
        <v>0</v>
      </c>
      <c r="D110" s="53" t="str">
        <f>IF(Project!C$1=$A110,Project!C$46," ")</f>
        <v xml:space="preserve"> </v>
      </c>
      <c r="E110" s="53" t="str">
        <f>IF(Project!C$2=$A110,Project!C$46," ")</f>
        <v xml:space="preserve"> </v>
      </c>
      <c r="F110" s="53" t="str">
        <f>IF(Project!D$1=$A110,Project!D$46," ")</f>
        <v xml:space="preserve"> </v>
      </c>
      <c r="G110" s="53" t="str">
        <f>IF(Project!D$2=$A110,Project!D$46," ")</f>
        <v xml:space="preserve"> </v>
      </c>
      <c r="H110" s="53" t="str">
        <f>IF(Project!E$1=$A110,Project!E$46," ")</f>
        <v xml:space="preserve"> </v>
      </c>
      <c r="I110" s="53" t="str">
        <f>IF(Project!E$2=$A110,Project!E$46," ")</f>
        <v xml:space="preserve"> </v>
      </c>
      <c r="J110" s="53" t="str">
        <f>IF(Project!F$1=$A110,Project!F$46," ")</f>
        <v xml:space="preserve"> </v>
      </c>
      <c r="K110" s="53" t="str">
        <f>IF(Project!F$2=$A110,Project!F$46," ")</f>
        <v xml:space="preserve"> </v>
      </c>
      <c r="L110" s="53" t="str">
        <f>IF(Project!G$1=$A110,Project!G$46," ")</f>
        <v xml:space="preserve"> </v>
      </c>
      <c r="M110" s="53" t="str">
        <f>IF(Project!G$2=$A110,Project!G$46," ")</f>
        <v xml:space="preserve"> </v>
      </c>
      <c r="N110" s="53" t="str">
        <f>IF(Project!H$1=$A110,Project!H$46," ")</f>
        <v xml:space="preserve"> </v>
      </c>
      <c r="O110" s="53" t="str">
        <f>IF(Project!H$2=$A110,Project!H$46," ")</f>
        <v xml:space="preserve"> </v>
      </c>
      <c r="P110" s="53" t="str">
        <f>IF(Project!I$1=$A110,Project!I$46," ")</f>
        <v xml:space="preserve"> </v>
      </c>
      <c r="Q110" s="53" t="str">
        <f>IF(Project!I$2=$A110,Project!I$46," ")</f>
        <v xml:space="preserve"> </v>
      </c>
      <c r="R110" s="53" t="str">
        <f>IF(Project!J$1=$A110,Project!J$46," ")</f>
        <v xml:space="preserve"> </v>
      </c>
      <c r="S110" s="53" t="str">
        <f>IF(Project!J$2=$A110,Project!J$46," ")</f>
        <v xml:space="preserve"> </v>
      </c>
      <c r="T110" s="53" t="str">
        <f>IF(Project!K$1=$A110,Project!K$46," ")</f>
        <v xml:space="preserve"> </v>
      </c>
      <c r="U110" s="53" t="str">
        <f>IF(Project!K$2=$A110,Project!K$46," ")</f>
        <v xml:space="preserve"> </v>
      </c>
      <c r="V110" s="53" t="str">
        <f>IF(Project!L$1=$A110,Project!L$46," ")</f>
        <v xml:space="preserve"> </v>
      </c>
      <c r="W110" s="53" t="str">
        <f>IF(Project!L$2=$A110,Project!L$46," ")</f>
        <v xml:space="preserve"> </v>
      </c>
      <c r="Y110" s="53" t="str">
        <f>IF(Homework!C$1=$A110,Homework!C$46," ")</f>
        <v xml:space="preserve"> </v>
      </c>
      <c r="Z110" s="53" t="str">
        <f>IF(Homework!C$2=$A110,Homework!C$46," ")</f>
        <v xml:space="preserve"> </v>
      </c>
      <c r="AA110" s="53" t="str">
        <f>IF(Homework!D$1=$A110,Homework!D$46," ")</f>
        <v xml:space="preserve"> </v>
      </c>
      <c r="AB110" s="53" t="str">
        <f>IF(Homework!D$2=$A110,Homework!D$46," ")</f>
        <v xml:space="preserve"> </v>
      </c>
      <c r="AC110" s="53" t="str">
        <f>IF(Homework!E$1=$A110,Homework!E$46," ")</f>
        <v xml:space="preserve"> </v>
      </c>
      <c r="AD110" s="53" t="str">
        <f>IF(Homework!E$2=$A110,Homework!E$46," ")</f>
        <v xml:space="preserve"> </v>
      </c>
      <c r="AE110" s="53" t="str">
        <f>IF(Homework!F$1=$A110,Homework!F$46," ")</f>
        <v xml:space="preserve"> </v>
      </c>
      <c r="AF110" s="53" t="str">
        <f>IF(Homework!F$2=$A110,Homework!F$46," ")</f>
        <v xml:space="preserve"> </v>
      </c>
      <c r="AG110" s="53" t="str">
        <f>IF(Homework!G$1=$A110,Homework!G$46," ")</f>
        <v xml:space="preserve"> </v>
      </c>
      <c r="AH110" s="53" t="str">
        <f>IF(Homework!G$2=$A110,Homework!G$46," ")</f>
        <v xml:space="preserve"> </v>
      </c>
      <c r="AI110" s="53" t="str">
        <f>IF(Homework!H$1=$A110,Homework!H$46," ")</f>
        <v xml:space="preserve"> </v>
      </c>
      <c r="AJ110" s="53" t="str">
        <f>IF(Homework!H$2=$A110,Homework!H$46," ")</f>
        <v xml:space="preserve"> </v>
      </c>
      <c r="AK110" s="53" t="str">
        <f>IF(Homework!I$1=$A110,Homework!I$46," ")</f>
        <v xml:space="preserve"> </v>
      </c>
      <c r="AL110" s="53" t="str">
        <f>IF(Homework!I$2=$A110,Homework!I$46," ")</f>
        <v xml:space="preserve"> </v>
      </c>
      <c r="AM110" s="53" t="str">
        <f>IF(Homework!J$1=$A110,Homework!J$46," ")</f>
        <v xml:space="preserve"> </v>
      </c>
      <c r="AN110" s="53" t="str">
        <f>IF(Homework!J$2=$A110,Homework!J$46," ")</f>
        <v xml:space="preserve"> </v>
      </c>
      <c r="AO110" s="53" t="str">
        <f>IF(Homework!K$1=$A110,Homework!K$46," ")</f>
        <v xml:space="preserve"> </v>
      </c>
      <c r="AP110" s="53" t="str">
        <f>IF(Homework!K$2=$A110,Homework!K$46," ")</f>
        <v xml:space="preserve"> </v>
      </c>
      <c r="AQ110" s="53" t="str">
        <f>IF(Homework!L$1=$A110,Homework!L$46," ")</f>
        <v xml:space="preserve"> </v>
      </c>
      <c r="AR110" s="53" t="str">
        <f>IF(Homework!L$2=$A110,Homework!L$46," ")</f>
        <v xml:space="preserve"> </v>
      </c>
      <c r="AS110" s="53" t="str">
        <f>IF(Homework!M$1=$A110,Homework!M$46," ")</f>
        <v xml:space="preserve"> </v>
      </c>
      <c r="AT110" s="53" t="str">
        <f>IF(Homework!M$2=$A110,Homework!M$46," ")</f>
        <v xml:space="preserve"> </v>
      </c>
      <c r="AU110" s="53" t="str">
        <f>IF(Homework!N$1=$A110,Homework!N$46," ")</f>
        <v xml:space="preserve"> </v>
      </c>
      <c r="AV110" s="53" t="str">
        <f>IF(Homework!N$2=$A110,Homework!N$46," ")</f>
        <v xml:space="preserve"> </v>
      </c>
      <c r="AW110" s="53" t="str">
        <f>IF(Homework!O$1=$A110,Homework!O$46," ")</f>
        <v xml:space="preserve"> </v>
      </c>
      <c r="AX110" s="53" t="str">
        <f>IF(Homework!O$2=$A110,Homework!O$46," ")</f>
        <v xml:space="preserve"> </v>
      </c>
      <c r="AY110" s="53" t="str">
        <f>IF(Homework!P$1=$A110,Homework!P$46," ")</f>
        <v xml:space="preserve"> </v>
      </c>
      <c r="AZ110" s="53" t="str">
        <f>IF(Homework!P$2=$A110,Homework!P$46," ")</f>
        <v xml:space="preserve"> </v>
      </c>
      <c r="BA110" s="53" t="str">
        <f>IF(Homework!Q$1=$A110,Homework!Q$46," ")</f>
        <v xml:space="preserve"> </v>
      </c>
      <c r="BB110" s="53" t="str">
        <f>IF(Homework!Q$2=$A110,Homework!Q$46," ")</f>
        <v xml:space="preserve"> </v>
      </c>
      <c r="BC110" s="53" t="str">
        <f>IF(Homework!R$1=$A110,Homework!R$46," ")</f>
        <v xml:space="preserve"> </v>
      </c>
      <c r="BD110" s="53" t="str">
        <f>IF(Homework!R$2=$A110,Homework!R$46," ")</f>
        <v xml:space="preserve"> </v>
      </c>
      <c r="BE110" s="53" t="str">
        <f>IF(Homework!S$1=$A110,Homework!S$46," ")</f>
        <v xml:space="preserve"> </v>
      </c>
      <c r="BF110" s="53" t="str">
        <f>IF(Homework!S$2=$A110,Homework!S$46," ")</f>
        <v xml:space="preserve"> </v>
      </c>
      <c r="BG110" s="53" t="str">
        <f>IF(Homework!T$1=$A110,Homework!T$46," ")</f>
        <v xml:space="preserve"> </v>
      </c>
      <c r="BH110" s="53" t="str">
        <f>IF(Homework!T$2=$A110,Homework!T$46," ")</f>
        <v xml:space="preserve"> </v>
      </c>
      <c r="BI110" s="53" t="str">
        <f>IF(Homework!U$1=$A110,Homework!U$46," ")</f>
        <v xml:space="preserve"> </v>
      </c>
      <c r="BJ110" s="53" t="str">
        <f>IF(Homework!U$2=$A110,Homework!U$46," ")</f>
        <v xml:space="preserve"> </v>
      </c>
      <c r="BK110" s="53" t="str">
        <f>IF(Homework!V$1=$A110,Homework!V$46," ")</f>
        <v xml:space="preserve"> </v>
      </c>
      <c r="BL110" s="53" t="str">
        <f>IF(Homework!V$2=$A110,Homework!V$46," ")</f>
        <v xml:space="preserve"> </v>
      </c>
      <c r="BN110" s="66" t="str">
        <f>IF(Laboratory!C$1=$A110,Laboratory!C$46," ")</f>
        <v xml:space="preserve"> </v>
      </c>
      <c r="BO110" s="66" t="str">
        <f>IF(Laboratory!C$2=$A110,Laboratory!C$46," ")</f>
        <v xml:space="preserve"> </v>
      </c>
      <c r="BP110" s="66" t="str">
        <f>IF(Laboratory!D$1=$A110,Laboratory!D$46," ")</f>
        <v xml:space="preserve"> </v>
      </c>
      <c r="BQ110" s="66" t="str">
        <f>IF(Laboratory!D$2=$A110,Laboratory!D$46," ")</f>
        <v xml:space="preserve"> </v>
      </c>
      <c r="BR110" s="66" t="str">
        <f>IF(Laboratory!E$1=$A110,Laboratory!E$46," ")</f>
        <v xml:space="preserve"> </v>
      </c>
      <c r="BS110" s="66" t="str">
        <f>IF(Laboratory!E$2=$A110,Laboratory!E$46," ")</f>
        <v xml:space="preserve"> </v>
      </c>
      <c r="BT110" s="66" t="str">
        <f>IF(Laboratory!F$1=$A110,Laboratory!F$46," ")</f>
        <v xml:space="preserve"> </v>
      </c>
      <c r="BU110" s="66" t="str">
        <f>IF(Laboratory!F$2=$A110,Laboratory!F$46," ")</f>
        <v xml:space="preserve"> </v>
      </c>
      <c r="BV110" s="66" t="str">
        <f>IF(Laboratory!G$1=$A110,Laboratory!G$46," ")</f>
        <v xml:space="preserve"> </v>
      </c>
      <c r="BW110" s="66" t="str">
        <f>IF(Laboratory!G$2=$A110,Laboratory!G$46," ")</f>
        <v xml:space="preserve"> </v>
      </c>
      <c r="BX110" s="66" t="str">
        <f>IF(Laboratory!H$1=$A110,Laboratory!H$46," ")</f>
        <v xml:space="preserve"> </v>
      </c>
      <c r="BY110" s="66" t="str">
        <f>IF(Laboratory!H$2=$A110,Laboratory!H$46," ")</f>
        <v xml:space="preserve"> </v>
      </c>
      <c r="BZ110" s="66"/>
      <c r="CA110" s="66" t="str">
        <f>IF(Laboratory!I$2=$A110,Laboratory!I$46," ")</f>
        <v xml:space="preserve"> </v>
      </c>
      <c r="CB110" s="66"/>
      <c r="CC110" s="66" t="str">
        <f>IF(Laboratory!J$2=$A110,Laboratory!J$46," ")</f>
        <v xml:space="preserve"> </v>
      </c>
      <c r="CD110" s="66" t="str">
        <f>IF(Laboratory!K$1=$A110,Laboratory!K$46," ")</f>
        <v xml:space="preserve"> </v>
      </c>
      <c r="CE110" s="66" t="str">
        <f>IF(Laboratory!K$2=$A110,Laboratory!K$46," ")</f>
        <v xml:space="preserve"> </v>
      </c>
      <c r="CF110" s="66" t="str">
        <f>IF(Laboratory!L$1=$A110,Laboratory!L$46," ")</f>
        <v xml:space="preserve"> </v>
      </c>
      <c r="CG110" s="66" t="str">
        <f>IF(Laboratory!L$2=$A110,Laboratory!L$46," ")</f>
        <v xml:space="preserve"> </v>
      </c>
      <c r="CH110" s="66" t="str">
        <f>IF(Laboratory!M$1=$A110,Laboratory!M$46," ")</f>
        <v xml:space="preserve"> </v>
      </c>
      <c r="CI110" s="66" t="str">
        <f>IF(Laboratory!M$2=$A110,Laboratory!M$46," ")</f>
        <v xml:space="preserve"> </v>
      </c>
      <c r="CJ110" s="66" t="str">
        <f>IF(Laboratory!N$1=$A110,Laboratory!N$46," ")</f>
        <v xml:space="preserve"> </v>
      </c>
      <c r="CK110" s="66" t="str">
        <f>IF(Laboratory!N$2=$A110,Laboratory!N$46," ")</f>
        <v xml:space="preserve"> </v>
      </c>
      <c r="CL110" s="66" t="str">
        <f>IF(Laboratory!O$1=$A110,Laboratory!O$46," ")</f>
        <v xml:space="preserve"> </v>
      </c>
      <c r="CM110" s="66" t="str">
        <f>IF(Laboratory!O$2=$A110,Laboratory!O$46," ")</f>
        <v xml:space="preserve"> </v>
      </c>
      <c r="CN110" s="66" t="str">
        <f>IF(Laboratory!P$1=$A110,Laboratory!P$46," ")</f>
        <v xml:space="preserve"> </v>
      </c>
      <c r="CO110" s="66" t="str">
        <f>IF(Laboratory!P$2=$A110,Laboratory!P$46," ")</f>
        <v xml:space="preserve"> </v>
      </c>
      <c r="CQ110" s="52" t="str">
        <f>IF(Quizzes!C$1=$A110,Quizzes!C$46," ")</f>
        <v xml:space="preserve"> </v>
      </c>
      <c r="CR110" s="52" t="str">
        <f>IF(Quizzes!C$2=$A110,Quizzes!C$46," ")</f>
        <v xml:space="preserve"> </v>
      </c>
      <c r="CS110" s="52" t="str">
        <f>IF(Quizzes!D$1=$A110,Quizzes!D$46," ")</f>
        <v xml:space="preserve"> </v>
      </c>
      <c r="CT110" s="52" t="str">
        <f>IF(Quizzes!D$2=$A110,Quizzes!D$46," ")</f>
        <v xml:space="preserve"> </v>
      </c>
      <c r="CU110" s="52" t="str">
        <f>IF(Quizzes!E$1=$A110,Quizzes!E$46," ")</f>
        <v xml:space="preserve"> </v>
      </c>
      <c r="CV110" s="52" t="str">
        <f>IF(Quizzes!E$2=$A110,Quizzes!E$46," ")</f>
        <v xml:space="preserve"> </v>
      </c>
      <c r="CW110" s="52" t="str">
        <f>IF(Quizzes!F$1=$A110,Quizzes!F$46," ")</f>
        <v xml:space="preserve"> </v>
      </c>
      <c r="CX110" s="52" t="str">
        <f>IF(Quizzes!F$2=$A110,Quizzes!F$46," ")</f>
        <v xml:space="preserve"> </v>
      </c>
      <c r="CY110" s="52" t="str">
        <f>IF(Quizzes!G$1=$A110,Quizzes!G$46," ")</f>
        <v xml:space="preserve"> </v>
      </c>
      <c r="CZ110" s="52" t="str">
        <f>IF(Quizzes!G$2=$A110,Quizzes!G$46," ")</f>
        <v xml:space="preserve"> </v>
      </c>
      <c r="DA110" s="52" t="str">
        <f>IF(Quizzes!H$1=$A110,Quizzes!H$46," ")</f>
        <v xml:space="preserve"> </v>
      </c>
      <c r="DB110" s="52" t="str">
        <f>IF(Quizzes!H$2=$A110,Quizzes!H$46," ")</f>
        <v xml:space="preserve"> </v>
      </c>
      <c r="DC110" s="52" t="str">
        <f>IF(Quizzes!I$1=$A110,Quizzes!I$46," ")</f>
        <v xml:space="preserve"> </v>
      </c>
      <c r="DD110" s="52" t="str">
        <f>IF(Quizzes!I$2=$A110,Quizzes!I$46," ")</f>
        <v xml:space="preserve"> </v>
      </c>
      <c r="DE110" s="52" t="str">
        <f>IF(Quizzes!J$1=$A110,Quizzes!J$46," ")</f>
        <v xml:space="preserve"> </v>
      </c>
      <c r="DF110" s="52" t="str">
        <f>IF(Quizzes!J$2=$A110,Quizzes!J$46," ")</f>
        <v xml:space="preserve"> </v>
      </c>
      <c r="DG110" s="52" t="str">
        <f>IF(Quizzes!K$1=$A110,Quizzes!K$46," ")</f>
        <v xml:space="preserve"> </v>
      </c>
      <c r="DH110" s="52" t="str">
        <f>IF(Quizzes!K$2=$A110,Quizzes!K$46," ")</f>
        <v xml:space="preserve"> </v>
      </c>
      <c r="DI110" s="52" t="str">
        <f>IF(Quizzes!L$1=$A110,Quizzes!L$46," ")</f>
        <v xml:space="preserve"> </v>
      </c>
      <c r="DJ110" s="52" t="str">
        <f>IF(Quizzes!L$2=$A110,Quizzes!L$46," ")</f>
        <v xml:space="preserve"> </v>
      </c>
      <c r="DK110" s="52" t="str">
        <f>IF(Quizzes!M$1=$A110,Quizzes!M$46," ")</f>
        <v xml:space="preserve"> </v>
      </c>
      <c r="DL110" s="52" t="str">
        <f>IF(Quizzes!M$2=$A110,Quizzes!M$46," ")</f>
        <v xml:space="preserve"> </v>
      </c>
      <c r="DM110" s="52" t="str">
        <f>IF(Quizzes!N$1=$A110,Quizzes!N$46," ")</f>
        <v xml:space="preserve"> </v>
      </c>
      <c r="DN110" s="52" t="str">
        <f>IF(Quizzes!N$2=$A110,Quizzes!N$46," ")</f>
        <v xml:space="preserve"> </v>
      </c>
      <c r="DO110" s="52" t="str">
        <f>IF(Quizzes!O$1=$A110,Quizzes!O$46," ")</f>
        <v xml:space="preserve"> </v>
      </c>
      <c r="DP110" s="52" t="str">
        <f>IF(Quizzes!O$2=$A110,Quizzes!O$46," ")</f>
        <v xml:space="preserve"> </v>
      </c>
      <c r="DQ110" s="52" t="str">
        <f>IF(Quizzes!P$1=$A110,Quizzes!P$46," ")</f>
        <v xml:space="preserve"> </v>
      </c>
      <c r="DR110" s="52" t="str">
        <f>IF(Quizzes!P$2=$A110,Quizzes!P$46," ")</f>
        <v xml:space="preserve"> </v>
      </c>
      <c r="DS110" s="52" t="str">
        <f>IF(Quizzes!Q$1=$A110,Quizzes!Q$46," ")</f>
        <v xml:space="preserve"> </v>
      </c>
      <c r="DT110" s="52" t="str">
        <f>IF(Quizzes!Q$1=$A110,Quizzes!Q$46," ")</f>
        <v xml:space="preserve"> </v>
      </c>
      <c r="DV110" s="25" t="str">
        <f>IF('Midterm 1'!C$1=$A110,'Midterm 1'!C$47," ")</f>
        <v xml:space="preserve"> </v>
      </c>
      <c r="DW110" s="25" t="str">
        <f>IF('Midterm 1'!C$2=$A110,'Midterm 1'!C$47," ")</f>
        <v xml:space="preserve"> </v>
      </c>
      <c r="DX110" s="25" t="str">
        <f>IF('Midterm 1'!D$1=$A110,'Midterm 1'!D$47," ")</f>
        <v xml:space="preserve"> </v>
      </c>
      <c r="DY110" s="25" t="str">
        <f>IF('Midterm 1'!D$2=$A110,'Midterm 1'!D$47," ")</f>
        <v xml:space="preserve"> </v>
      </c>
      <c r="DZ110" s="25" t="str">
        <f>IF('Midterm 1'!E$1=$A110,'Midterm 1'!E$47," ")</f>
        <v xml:space="preserve"> </v>
      </c>
      <c r="EA110" s="25" t="str">
        <f>IF('Midterm 1'!E$2=$A110,'Midterm 1'!E$47," ")</f>
        <v xml:space="preserve"> </v>
      </c>
      <c r="EB110" s="25" t="str">
        <f>IF('Midterm 1'!F$1=$A110,'Midterm 1'!F$47," ")</f>
        <v xml:space="preserve"> </v>
      </c>
      <c r="EC110" s="25" t="str">
        <f>IF('Midterm 1'!F$2=$A110,'Midterm 1'!F$47," ")</f>
        <v xml:space="preserve"> </v>
      </c>
      <c r="ED110" s="25" t="str">
        <f>IF('Midterm 1'!G$1=$A110,'Midterm 1'!G$47," ")</f>
        <v xml:space="preserve"> </v>
      </c>
      <c r="EE110" s="25" t="str">
        <f>IF('Midterm 1'!G$2=$A110,'Midterm 1'!G$47," ")</f>
        <v xml:space="preserve"> </v>
      </c>
      <c r="EF110" s="25" t="str">
        <f>IF('Midterm 1'!H$1=$A110,'Midterm 1'!I$47," ")</f>
        <v xml:space="preserve"> </v>
      </c>
      <c r="EG110" s="25" t="str">
        <f>IF('Midterm 1'!H$2=$A110,'Midterm 1'!H$47," ")</f>
        <v xml:space="preserve"> </v>
      </c>
      <c r="EH110" s="25" t="str">
        <f>IF('Midterm 1'!I$1=$A110,'Midterm 1'!I$47," ")</f>
        <v xml:space="preserve"> </v>
      </c>
      <c r="EI110" s="25" t="str">
        <f>IF('Midterm 1'!I$2=$A110,'Midterm 1'!I$47," ")</f>
        <v xml:space="preserve"> </v>
      </c>
      <c r="EJ110" s="25" t="str">
        <f>IF('Midterm 1'!J$1=$A110,'Midterm 1'!J$47," ")</f>
        <v xml:space="preserve"> </v>
      </c>
      <c r="EK110" s="25" t="str">
        <f>IF('Midterm 1'!J$2=$A110,'Midterm 1'!J$47," ")</f>
        <v xml:space="preserve"> </v>
      </c>
      <c r="EL110" s="25" t="str">
        <f>IF('Midterm 1'!K$1=$A110,'Midterm 1'!K$47," ")</f>
        <v xml:space="preserve"> </v>
      </c>
      <c r="EM110" s="25" t="str">
        <f>IF('Midterm 1'!K$2=$A110,'Midterm 1'!K$47," ")</f>
        <v xml:space="preserve"> </v>
      </c>
      <c r="EN110" s="25" t="str">
        <f>IF('Midterm 1'!L$1=$A110,'Midterm 1'!L$47," ")</f>
        <v xml:space="preserve"> </v>
      </c>
      <c r="EO110" s="25" t="str">
        <f>IF('Midterm 1'!L$2=$A110,'Midterm 1'!L$47," ")</f>
        <v xml:space="preserve"> </v>
      </c>
      <c r="EP110" s="25" t="str">
        <f>IF('Midterm 1'!M$1=$A110,'Midterm 1'!M$47," ")</f>
        <v xml:space="preserve"> </v>
      </c>
      <c r="EQ110" s="25" t="str">
        <f>IF('Midterm 1'!M$2=$A110,'Midterm 1'!M$47," ")</f>
        <v xml:space="preserve"> </v>
      </c>
      <c r="ER110" s="25" t="str">
        <f>IF('Midterm 1'!N$1=$A110,'Midterm 1'!N$47," ")</f>
        <v xml:space="preserve"> </v>
      </c>
      <c r="ES110" s="25" t="str">
        <f>IF('Midterm 1'!N$2=$A110,'Midterm 1'!N$47," ")</f>
        <v xml:space="preserve"> </v>
      </c>
      <c r="ET110" s="25" t="str">
        <f>IF('Midterm 1'!O$1=$A110,'Midterm 1'!O$47," ")</f>
        <v xml:space="preserve"> </v>
      </c>
      <c r="EU110" s="25" t="str">
        <f>IF('Midterm 1'!O$2=$A110,'Midterm 1'!O$47," ")</f>
        <v xml:space="preserve"> </v>
      </c>
      <c r="EV110" s="25" t="str">
        <f>IF('Midterm 1'!P$1=$A110,'Midterm 1'!P$47," ")</f>
        <v xml:space="preserve"> </v>
      </c>
      <c r="EW110" s="25" t="str">
        <f>IF('Midterm 1'!P$2=$A110,'Midterm 1'!P$47," ")</f>
        <v xml:space="preserve"> </v>
      </c>
      <c r="EX110" s="25" t="str">
        <f>IF('Midterm 1'!Q$1=$A110,'Midterm 1'!Q$47," ")</f>
        <v xml:space="preserve"> </v>
      </c>
      <c r="EY110" s="25" t="str">
        <f>IF('Midterm 1'!Q$2=$A110,'Midterm 1'!Q$47," ")</f>
        <v xml:space="preserve"> </v>
      </c>
      <c r="EZ110" s="25" t="str">
        <f>IF('Midterm 1'!R$1=$A110,'Midterm 1'!R$47," ")</f>
        <v xml:space="preserve"> </v>
      </c>
      <c r="FA110" s="25" t="str">
        <f>IF('Midterm 1'!R$2=$A110,'Midterm 1'!R$47," ")</f>
        <v xml:space="preserve"> </v>
      </c>
      <c r="FB110" s="25" t="str">
        <f>IF('Midterm 1'!S$1=$A110,'Midterm 1'!S$47," ")</f>
        <v xml:space="preserve"> </v>
      </c>
      <c r="FC110" s="25" t="str">
        <f>IF('Midterm 1'!S$2=$A110,'Midterm 1'!S$47," ")</f>
        <v xml:space="preserve"> </v>
      </c>
      <c r="FD110" s="25" t="str">
        <f>IF('Midterm 1'!T$1=$A110,'Midterm 1'!T$47," ")</f>
        <v xml:space="preserve"> </v>
      </c>
      <c r="FE110" s="25" t="str">
        <f>IF('Midterm 1'!T$2=$A110,'Midterm 1'!T$47," ")</f>
        <v xml:space="preserve"> </v>
      </c>
      <c r="FF110" s="25" t="str">
        <f>IF('Midterm 1'!U$1=$A110,'Midterm 1'!U$47," ")</f>
        <v xml:space="preserve"> </v>
      </c>
      <c r="FG110" s="25" t="str">
        <f>IF('Midterm 1'!U$2=$A110,'Midterm 1'!U$47," ")</f>
        <v xml:space="preserve"> </v>
      </c>
      <c r="FH110" s="25" t="str">
        <f>IF('Midterm 1'!V$1=$A110,'Midterm 1'!V$47," ")</f>
        <v xml:space="preserve"> </v>
      </c>
      <c r="FI110" s="25" t="str">
        <f>IF('Midterm 1'!V$2=$A110,'Midterm 1'!V$47," ")</f>
        <v xml:space="preserve"> </v>
      </c>
      <c r="FJ110" s="25" t="str">
        <f>IF('Midterm 1'!W$1=$A110,'Midterm 1'!W$47," ")</f>
        <v xml:space="preserve"> </v>
      </c>
      <c r="FK110" s="25" t="str">
        <f>IF('Midterm 1'!W$2=$A110,'Midterm 1'!W$47," ")</f>
        <v xml:space="preserve"> </v>
      </c>
      <c r="FL110" s="25" t="str">
        <f>IF('Midterm 1'!X$1=$A110,'Midterm 1'!X$47," ")</f>
        <v xml:space="preserve"> </v>
      </c>
      <c r="FM110" s="25" t="str">
        <f>IF('Midterm 1'!X$2=$A110,'Midterm 1'!X$47," ")</f>
        <v xml:space="preserve"> </v>
      </c>
      <c r="FN110" s="25" t="str">
        <f>IF('Midterm 1'!Y$1=$A110,'Midterm 1'!Y$47," ")</f>
        <v xml:space="preserve"> </v>
      </c>
      <c r="FO110" s="25" t="str">
        <f>IF('Midterm 1'!Y$2=$A110,'Midterm 1'!Y$47," ")</f>
        <v xml:space="preserve"> </v>
      </c>
      <c r="FP110" s="25" t="str">
        <f>IF('Midterm 1'!Z$1=$A110,'Midterm 1'!Z$47," ")</f>
        <v xml:space="preserve"> </v>
      </c>
      <c r="FQ110" s="25" t="str">
        <f>IF('Midterm 1'!Z$2=$A110,'Midterm 1'!Z$47," ")</f>
        <v xml:space="preserve"> </v>
      </c>
      <c r="FR110" s="25" t="str">
        <f>IF('Midterm 1'!AA$1=$A110,'Midterm 1'!AA$47," ")</f>
        <v xml:space="preserve"> </v>
      </c>
      <c r="FS110" s="25" t="str">
        <f>IF('Midterm 1'!AA$2=$A110,'Midterm 1'!AA$47," ")</f>
        <v xml:space="preserve"> </v>
      </c>
      <c r="FT110" s="25" t="str">
        <f>IF('Midterm 1'!AB$1=$A110,'Midterm 1'!AB$47," ")</f>
        <v xml:space="preserve"> </v>
      </c>
      <c r="FU110" s="25" t="str">
        <f>IF('Midterm 1'!AB$2=$A110,'Midterm 1'!AB$47," ")</f>
        <v xml:space="preserve"> </v>
      </c>
      <c r="FV110" s="25" t="str">
        <f>IF('Midterm 1'!AC$1=$A110,'Midterm 1'!AC$47," ")</f>
        <v xml:space="preserve"> </v>
      </c>
      <c r="FW110" s="25" t="str">
        <f>IF('Midterm 1'!AC$2=$A110,'Midterm 1'!AC$47," ")</f>
        <v xml:space="preserve"> </v>
      </c>
      <c r="FX110" s="25" t="str">
        <f>IF('Midterm 1'!AD$1=$A110,'Midterm 1'!AD$47," ")</f>
        <v xml:space="preserve"> </v>
      </c>
      <c r="FY110" s="25" t="str">
        <f>IF('Midterm 1'!AD$2=$A110,'Midterm 1'!AD$47," ")</f>
        <v xml:space="preserve"> </v>
      </c>
      <c r="FZ110" s="25" t="str">
        <f>IF('Midterm 1'!AE$1=$A110,'Midterm 1'!AE$47," ")</f>
        <v xml:space="preserve"> </v>
      </c>
      <c r="GA110" s="25" t="str">
        <f>IF('Midterm 1'!AE$2=$A110,'Midterm 1'!AE$47," ")</f>
        <v xml:space="preserve"> </v>
      </c>
      <c r="GB110" s="25" t="str">
        <f>IF('Midterm 1'!AF$1=$A110,'Midterm 1'!AF$47," ")</f>
        <v xml:space="preserve"> </v>
      </c>
      <c r="GC110" s="25" t="str">
        <f>IF('Midterm 1'!AF$2=$A110,'Midterm 1'!AF$47," ")</f>
        <v xml:space="preserve"> </v>
      </c>
      <c r="GE110" s="25" t="str">
        <f>IF('Midterm 2'!C$1=$A110,'Midterm 2'!C$47," ")</f>
        <v xml:space="preserve"> </v>
      </c>
      <c r="GF110" s="25" t="str">
        <f>IF('Midterm 2'!C$2=$A110,'Midterm 2'!C$47," ")</f>
        <v xml:space="preserve"> </v>
      </c>
      <c r="GG110" s="25" t="str">
        <f>IF('Midterm 2'!D$1=$A110,'Midterm 2'!D$47," ")</f>
        <v xml:space="preserve"> </v>
      </c>
      <c r="GH110" s="25" t="str">
        <f>IF('Midterm 2'!D$2=$A110,'Midterm 2'!D$47," ")</f>
        <v xml:space="preserve"> </v>
      </c>
      <c r="GI110" s="25" t="str">
        <f>IF('Midterm 2'!E$1=$A110,'Midterm 2'!E$47," ")</f>
        <v xml:space="preserve"> </v>
      </c>
      <c r="GJ110" s="25" t="str">
        <f>IF('Midterm 2'!E$2=$A110,'Midterm 2'!E$47," ")</f>
        <v xml:space="preserve"> </v>
      </c>
      <c r="GK110" s="25" t="str">
        <f>IF('Midterm 2'!F$1=$A110,'Midterm 2'!F$47," ")</f>
        <v xml:space="preserve"> </v>
      </c>
      <c r="GL110" s="25" t="str">
        <f>IF('Midterm 2'!F$2=$A110,'Midterm 2'!F$47," ")</f>
        <v xml:space="preserve"> </v>
      </c>
      <c r="GM110" s="25" t="str">
        <f>IF('Midterm 2'!G$1=$A110,'Midterm 2'!G$47," ")</f>
        <v xml:space="preserve"> </v>
      </c>
      <c r="GN110" s="25" t="str">
        <f>IF('Midterm 2'!G$2=$A110,'Midterm 2'!G$47," ")</f>
        <v xml:space="preserve"> </v>
      </c>
      <c r="GO110" s="25" t="str">
        <f>IF('Midterm 2'!H$1=$A110,'Midterm 2'!H$47," ")</f>
        <v xml:space="preserve"> </v>
      </c>
      <c r="GP110" s="25" t="str">
        <f>IF('Midterm 2'!H$2=$A110,'Midterm 2'!H$47," ")</f>
        <v xml:space="preserve"> </v>
      </c>
      <c r="GQ110" s="25" t="str">
        <f>IF('Midterm 2'!I$1=$A110,'Midterm 2'!I$47," ")</f>
        <v xml:space="preserve"> </v>
      </c>
      <c r="GR110" s="25" t="str">
        <f>IF('Midterm 2'!I$2=$A110,'Midterm 2'!I$47," ")</f>
        <v xml:space="preserve"> </v>
      </c>
      <c r="GS110" s="25" t="str">
        <f>IF('Midterm 2'!J$1=$A110,'Midterm 2'!J$47," ")</f>
        <v xml:space="preserve"> </v>
      </c>
      <c r="GT110" s="25" t="str">
        <f>IF('Midterm 2'!J$2=$A110,'Midterm 2'!J$47," ")</f>
        <v xml:space="preserve"> </v>
      </c>
      <c r="GU110" s="25" t="str">
        <f>IF('Midterm 2'!K$1=$A110,'Midterm 2'!K$47," ")</f>
        <v xml:space="preserve"> </v>
      </c>
      <c r="GV110" s="25" t="str">
        <f>IF('Midterm 2'!K$2=$A110,'Midterm 2'!K$47," ")</f>
        <v xml:space="preserve"> </v>
      </c>
      <c r="GW110" s="25" t="str">
        <f>IF('Midterm 2'!L$1=$A110,'Midterm 2'!L$47," ")</f>
        <v xml:space="preserve"> </v>
      </c>
      <c r="GX110" s="25" t="str">
        <f>IF('Midterm 2'!L$2=$A110,'Midterm 2'!L$47," ")</f>
        <v xml:space="preserve"> </v>
      </c>
      <c r="GY110" s="25" t="str">
        <f>IF('Midterm 2'!M$1=$A110,'Midterm 2'!M$47," ")</f>
        <v xml:space="preserve"> </v>
      </c>
      <c r="GZ110" s="25" t="str">
        <f>IF('Midterm 2'!M$2=$A110,'Midterm 2'!M$47," ")</f>
        <v xml:space="preserve"> </v>
      </c>
      <c r="HA110" s="25" t="str">
        <f>IF('Midterm 2'!N$1=$A110,'Midterm 2'!N$47," ")</f>
        <v xml:space="preserve"> </v>
      </c>
      <c r="HB110" s="25" t="str">
        <f>IF('Midterm 2'!N$2=$A110,'Midterm 2'!N$47," ")</f>
        <v xml:space="preserve"> </v>
      </c>
      <c r="HC110" s="25" t="str">
        <f>IF('Midterm 2'!O$1=$A110,'Midterm 2'!O$47," ")</f>
        <v xml:space="preserve"> </v>
      </c>
      <c r="HD110" s="25" t="str">
        <f>IF('Midterm 2'!O$2=$A110,'Midterm 2'!O$47," ")</f>
        <v xml:space="preserve"> </v>
      </c>
      <c r="HE110" s="25" t="str">
        <f>IF('Midterm 2'!P$1=$A110,'Midterm 2'!P$47," ")</f>
        <v xml:space="preserve"> </v>
      </c>
      <c r="HF110" s="25" t="str">
        <f>IF('Midterm 2'!P$2=$A110,'Midterm 2'!P$47," ")</f>
        <v xml:space="preserve"> </v>
      </c>
      <c r="HG110" s="25" t="str">
        <f>IF('Midterm 2'!Q$1=$A110,'Midterm 2'!Q$47," ")</f>
        <v xml:space="preserve"> </v>
      </c>
      <c r="HH110" s="25" t="str">
        <f>IF('Midterm 2'!Q$2=$A110,'Midterm 2'!Q$47," ")</f>
        <v xml:space="preserve"> </v>
      </c>
      <c r="HI110" s="25" t="str">
        <f>IF('Midterm 2'!R$1=$A110,'Midterm 2'!R$47," ")</f>
        <v xml:space="preserve"> </v>
      </c>
      <c r="HJ110" s="25" t="str">
        <f>IF('Midterm 2'!R$2=$A110,'Midterm 2'!R$47," ")</f>
        <v xml:space="preserve"> </v>
      </c>
      <c r="HK110" s="25" t="str">
        <f>IF('Midterm 2'!S$1=$A110,'Midterm 2'!S$47," ")</f>
        <v xml:space="preserve"> </v>
      </c>
      <c r="HL110" s="25" t="str">
        <f>IF('Midterm 2'!S$2=$A110,'Midterm 2'!S$47," ")</f>
        <v xml:space="preserve"> </v>
      </c>
      <c r="HM110" s="25" t="str">
        <f>IF('Midterm 2'!T$1=$A110,'Midterm 2'!T$47," ")</f>
        <v xml:space="preserve"> </v>
      </c>
      <c r="HN110" s="25" t="str">
        <f>IF('Midterm 2'!T$2=$A110,'Midterm 2'!T$47," ")</f>
        <v xml:space="preserve"> </v>
      </c>
      <c r="HO110" s="25" t="str">
        <f>IF('Midterm 2'!U$1=$A110,'Midterm 2'!U$47," ")</f>
        <v xml:space="preserve"> </v>
      </c>
      <c r="HP110" s="25" t="str">
        <f>IF('Midterm 2'!U$2=$A110,'Midterm 2'!U$47," ")</f>
        <v xml:space="preserve"> </v>
      </c>
      <c r="HQ110" s="25" t="str">
        <f>IF('Midterm 2'!V$1=$A110,'Midterm 2'!V$47," ")</f>
        <v xml:space="preserve"> </v>
      </c>
      <c r="HR110" s="25" t="str">
        <f>IF('Midterm 2'!V$2=$A110,'Midterm 2'!V$47," ")</f>
        <v xml:space="preserve"> </v>
      </c>
      <c r="HS110" s="25" t="str">
        <f>IF('Midterm 2'!W$1=$A110,'Midterm 2'!W$47," ")</f>
        <v xml:space="preserve"> </v>
      </c>
      <c r="HT110" s="25" t="str">
        <f>IF('Midterm 2'!W$2=$A110,'Midterm 2'!W$47," ")</f>
        <v xml:space="preserve"> </v>
      </c>
      <c r="HU110" s="25" t="str">
        <f>IF('Midterm 2'!X$1=$A110,'Midterm 2'!X$47," ")</f>
        <v xml:space="preserve"> </v>
      </c>
      <c r="HV110" s="25" t="str">
        <f>IF('Midterm 2'!X$2=$A110,'Midterm 2'!X$47," ")</f>
        <v xml:space="preserve"> </v>
      </c>
      <c r="HW110" s="25" t="str">
        <f>IF('Midterm 2'!Y$1=$A110,'Midterm 2'!Y$47," ")</f>
        <v xml:space="preserve"> </v>
      </c>
      <c r="HX110" s="25" t="str">
        <f>IF('Midterm 2'!Y$2=$A110,'Midterm 2'!Y$47," ")</f>
        <v xml:space="preserve"> </v>
      </c>
      <c r="HY110" s="25" t="str">
        <f>IF('Midterm 2'!Z$1=$A110,'Midterm 2'!Z$47," ")</f>
        <v xml:space="preserve"> </v>
      </c>
      <c r="HZ110" s="25" t="str">
        <f>IF('Midterm 2'!Z$2=$A110,'Midterm 2'!Z$47," ")</f>
        <v xml:space="preserve"> </v>
      </c>
      <c r="IA110" s="25" t="str">
        <f>IF('Midterm 2'!AA$1=$A110,'Midterm 2'!AA$47," ")</f>
        <v xml:space="preserve"> </v>
      </c>
      <c r="IB110" s="25" t="str">
        <f>IF('Midterm 2'!AA$2=$A110,'Midterm 2'!AA$47," ")</f>
        <v xml:space="preserve"> </v>
      </c>
      <c r="IC110" s="25" t="str">
        <f>IF('Midterm 2'!AB$1=$A110,'Midterm 2'!AB$47," ")</f>
        <v xml:space="preserve"> </v>
      </c>
      <c r="ID110" s="25" t="str">
        <f>IF('Midterm 2'!AB$2=$A110,'Midterm 2'!AB$47," ")</f>
        <v xml:space="preserve"> </v>
      </c>
      <c r="IE110" s="25" t="str">
        <f>IF('Midterm 2'!AC$1=$A110,'Midterm 2'!AC$47," ")</f>
        <v xml:space="preserve"> </v>
      </c>
      <c r="IF110" s="25" t="str">
        <f>IF('Midterm 2'!AC$2=$A110,'Midterm 2'!AC$47," ")</f>
        <v xml:space="preserve"> </v>
      </c>
      <c r="IG110" s="25" t="str">
        <f>IF('Midterm 2'!AD$1=$A110,'Midterm 2'!AD$47," ")</f>
        <v xml:space="preserve"> </v>
      </c>
      <c r="IH110" s="25" t="str">
        <f>IF('Midterm 2'!AD$2=$A110,'Midterm 2'!AD$47," ")</f>
        <v xml:space="preserve"> </v>
      </c>
      <c r="II110" s="25" t="str">
        <f>IF('Midterm 2'!AE$1=$A110,'Midterm 2'!AE$47," ")</f>
        <v xml:space="preserve"> </v>
      </c>
      <c r="IJ110" s="25" t="str">
        <f>IF('Midterm 2'!AE$2=$A110,'Midterm 2'!AE$47," ")</f>
        <v xml:space="preserve"> </v>
      </c>
      <c r="IK110" s="25" t="str">
        <f>IF('Midterm 2'!AF$1=$A110,'Midterm 2'!AF$47," ")</f>
        <v xml:space="preserve"> </v>
      </c>
      <c r="IL110" s="25" t="str">
        <f>IF('Midterm 2'!AF$2=$A110,'Midterm 2'!AF$47," ")</f>
        <v xml:space="preserve"> </v>
      </c>
      <c r="IM110" s="25" t="str">
        <f>IF('Midterm 2'!AG$1=$A110,'Midterm 2'!AG$47," ")</f>
        <v xml:space="preserve"> </v>
      </c>
      <c r="IN110" s="25" t="str">
        <f>IF('Midterm 2'!AG$2=$A110,'Midterm 2'!AG$47," ")</f>
        <v xml:space="preserve"> </v>
      </c>
      <c r="IO110" s="25" t="str">
        <f>IF('Midterm 2'!AH$1=$A110,'Midterm 2'!AH$47," ")</f>
        <v xml:space="preserve"> </v>
      </c>
      <c r="IP110" s="25" t="str">
        <f>IF('Midterm 2'!AH$2=$A110,'Midterm 2'!AF$47," ")</f>
        <v xml:space="preserve"> </v>
      </c>
      <c r="IR110" s="54" t="str">
        <f>IF('Final Exam'!C$1=$A110,'Final Exam'!C$46," ")</f>
        <v xml:space="preserve"> </v>
      </c>
      <c r="IS110" s="54" t="str">
        <f>IF('Final Exam'!C$2=$A110,'Final Exam'!C$46," ")</f>
        <v xml:space="preserve"> </v>
      </c>
      <c r="IT110" s="54" t="str">
        <f>IF('Final Exam'!D$1=$A110,'Final Exam'!D$46," ")</f>
        <v xml:space="preserve"> </v>
      </c>
      <c r="IU110" s="54" t="str">
        <f>IF('Final Exam'!D$2=$A110,'Final Exam'!D$46," ")</f>
        <v xml:space="preserve"> </v>
      </c>
      <c r="IV110" s="54" t="str">
        <f>IF('Final Exam'!E$1=$A110,'Final Exam'!E$46," ")</f>
        <v xml:space="preserve"> </v>
      </c>
      <c r="IW110" s="54" t="str">
        <f>IF('Final Exam'!E$2=$A110,'Final Exam'!E$46," ")</f>
        <v xml:space="preserve"> </v>
      </c>
      <c r="IX110" s="54" t="str">
        <f>IF('Final Exam'!F$1=$A110,'Final Exam'!F$46," ")</f>
        <v xml:space="preserve"> </v>
      </c>
      <c r="IY110" s="54" t="str">
        <f>IF('Final Exam'!F$2=$A110,'Final Exam'!F$46," ")</f>
        <v xml:space="preserve"> </v>
      </c>
      <c r="IZ110" s="54" t="str">
        <f>IF('Final Exam'!G$1=$A110,'Final Exam'!G$46," ")</f>
        <v xml:space="preserve"> </v>
      </c>
      <c r="JA110" s="54" t="str">
        <f>IF('Final Exam'!G$2=$A110,'Final Exam'!G$46," ")</f>
        <v xml:space="preserve"> </v>
      </c>
      <c r="JB110" s="54" t="str">
        <f>IF('Final Exam'!H$1=$A110,'Final Exam'!G$46," ")</f>
        <v xml:space="preserve"> </v>
      </c>
      <c r="JC110" s="54" t="str">
        <f>IF('Final Exam'!H$2=$A110,'Final Exam'!H$46," ")</f>
        <v xml:space="preserve"> </v>
      </c>
      <c r="JD110" s="54" t="str">
        <f>IF('Final Exam'!I$1=$A110,'Final Exam'!I$46," ")</f>
        <v xml:space="preserve"> </v>
      </c>
      <c r="JE110" s="54" t="str">
        <f>IF('Final Exam'!I$2=$A110,'Final Exam'!I$46," ")</f>
        <v xml:space="preserve"> </v>
      </c>
      <c r="JF110" s="54" t="str">
        <f>IF('Final Exam'!J$1=$A110,'Final Exam'!J$46," ")</f>
        <v xml:space="preserve"> </v>
      </c>
      <c r="JG110" s="54" t="str">
        <f>IF('Final Exam'!J$2=$A110,'Final Exam'!J$46," ")</f>
        <v xml:space="preserve"> </v>
      </c>
      <c r="JH110" s="54" t="str">
        <f>IF('Final Exam'!K$1=$A110,'Final Exam'!K$46," ")</f>
        <v xml:space="preserve"> </v>
      </c>
      <c r="JI110" s="54" t="str">
        <f>IF('Final Exam'!K$2=$A110,'Final Exam'!K$46," ")</f>
        <v xml:space="preserve"> </v>
      </c>
      <c r="JJ110" s="54" t="str">
        <f>IF('Final Exam'!L$1=$A110,'Final Exam'!L$46," ")</f>
        <v xml:space="preserve"> </v>
      </c>
      <c r="JK110" s="54" t="str">
        <f>IF('Final Exam'!L$2=$A110,'Final Exam'!L$46," ")</f>
        <v xml:space="preserve"> </v>
      </c>
      <c r="JL110" s="54" t="str">
        <f>IF('Final Exam'!M$1=$A110,'Final Exam'!M$46," ")</f>
        <v xml:space="preserve"> </v>
      </c>
      <c r="JM110" s="54" t="str">
        <f>IF('Final Exam'!M$2=$A110,'Final Exam'!M$46," ")</f>
        <v xml:space="preserve"> </v>
      </c>
      <c r="JN110" s="54" t="str">
        <f>IF('Final Exam'!N$1=$A110,'Final Exam'!N$46," ")</f>
        <v xml:space="preserve"> </v>
      </c>
      <c r="JO110" s="54" t="str">
        <f>IF('Final Exam'!N$2=$A110,'Final Exam'!N$46," ")</f>
        <v xml:space="preserve"> </v>
      </c>
      <c r="JP110" s="54" t="str">
        <f>IF('Final Exam'!O$1=$A110,'Final Exam'!O$46," ")</f>
        <v xml:space="preserve"> </v>
      </c>
      <c r="JQ110" s="54" t="str">
        <f>IF('Final Exam'!O$2=$A110,'Final Exam'!O$46," ")</f>
        <v xml:space="preserve"> </v>
      </c>
      <c r="JR110" s="54" t="str">
        <f>IF('Final Exam'!P$1=$A110,'Final Exam'!P$46," ")</f>
        <v xml:space="preserve"> </v>
      </c>
      <c r="JS110" s="54" t="str">
        <f>IF('Final Exam'!P$2=$A110,'Final Exam'!P$46," ")</f>
        <v xml:space="preserve"> </v>
      </c>
      <c r="JT110" s="54" t="str">
        <f>IF('Final Exam'!Q$1=$A110,'Final Exam'!Q$46," ")</f>
        <v xml:space="preserve"> </v>
      </c>
      <c r="JU110" s="54" t="str">
        <f>IF('Final Exam'!Q$2=$A110,'Final Exam'!Q$46," ")</f>
        <v xml:space="preserve"> </v>
      </c>
      <c r="JV110" s="54" t="str">
        <f>IF('Final Exam'!R$1=$A110,'Final Exam'!R$46," ")</f>
        <v xml:space="preserve"> </v>
      </c>
      <c r="JW110" s="54" t="str">
        <f>IF('Final Exam'!R$2=$A110,'Final Exam'!R$46," ")</f>
        <v xml:space="preserve"> </v>
      </c>
      <c r="JX110" s="54" t="str">
        <f>IF('Final Exam'!S$1=$A110,'Final Exam'!S$46," ")</f>
        <v xml:space="preserve"> </v>
      </c>
      <c r="JY110" s="54" t="str">
        <f>IF('Final Exam'!S$2=$A110,'Final Exam'!S$46," ")</f>
        <v xml:space="preserve"> </v>
      </c>
      <c r="JZ110" s="54" t="str">
        <f>IF('Final Exam'!T$1=$A110,'Final Exam'!T$46," ")</f>
        <v xml:space="preserve"> </v>
      </c>
      <c r="KA110" s="54" t="str">
        <f>IF('Final Exam'!T$2=$A110,'Final Exam'!T$46," ")</f>
        <v xml:space="preserve"> </v>
      </c>
      <c r="KB110" s="54" t="str">
        <f>IF('Final Exam'!U$1=$A110,'Final Exam'!U$46," ")</f>
        <v xml:space="preserve"> </v>
      </c>
      <c r="KC110" s="54" t="str">
        <f>IF('Final Exam'!U$2=$A110,'Final Exam'!U$46," ")</f>
        <v xml:space="preserve"> </v>
      </c>
      <c r="KD110" s="54" t="str">
        <f>IF('Final Exam'!V$1=$A110,'Final Exam'!V$46," ")</f>
        <v xml:space="preserve"> </v>
      </c>
      <c r="KE110" s="54" t="str">
        <f>IF('Final Exam'!V$2=$A110,'Final Exam'!V$46," ")</f>
        <v xml:space="preserve"> </v>
      </c>
      <c r="KF110" s="54" t="str">
        <f>IF('Final Exam'!W$1=$A110,'Final Exam'!W$46," ")</f>
        <v xml:space="preserve"> </v>
      </c>
      <c r="KG110" s="54" t="str">
        <f>IF('Final Exam'!W$2=$A110,'Final Exam'!W$46," ")</f>
        <v xml:space="preserve"> </v>
      </c>
      <c r="KH110" s="54" t="str">
        <f>IF('Final Exam'!X$1=$A110,'Final Exam'!X$46," ")</f>
        <v xml:space="preserve"> </v>
      </c>
      <c r="KI110" s="54" t="str">
        <f>IF('Final Exam'!X$2=$A110,'Final Exam'!X$46," ")</f>
        <v xml:space="preserve"> </v>
      </c>
      <c r="KJ110" s="54" t="str">
        <f>IF('Final Exam'!Y$1=$A110,'Final Exam'!Y$46," ")</f>
        <v xml:space="preserve"> </v>
      </c>
      <c r="KK110" s="54" t="str">
        <f>IF('Final Exam'!Y$2=$A110,'Final Exam'!Y$46," ")</f>
        <v xml:space="preserve"> </v>
      </c>
      <c r="KL110" s="54" t="str">
        <f>IF('Final Exam'!Z$1=$A110,'Final Exam'!Z$46," ")</f>
        <v xml:space="preserve"> </v>
      </c>
      <c r="KM110" s="54" t="str">
        <f>IF('Final Exam'!Z$2=$A110,'Final Exam'!Z$46," ")</f>
        <v xml:space="preserve"> </v>
      </c>
      <c r="KN110" s="54" t="str">
        <f>IF('Final Exam'!AA$1=$A110,'Final Exam'!AA$46," ")</f>
        <v xml:space="preserve"> </v>
      </c>
      <c r="KO110" s="54" t="str">
        <f>IF('Final Exam'!AA$2=$A110,'Final Exam'!AA$46," ")</f>
        <v xml:space="preserve"> </v>
      </c>
      <c r="KP110" s="54" t="str">
        <f>IF('Final Exam'!AB$1=$A110,'Final Exam'!AB$46," ")</f>
        <v xml:space="preserve"> </v>
      </c>
      <c r="KQ110" s="54" t="str">
        <f>IF('Final Exam'!AB$2=$A110,'Final Exam'!AB$46," ")</f>
        <v xml:space="preserve"> </v>
      </c>
      <c r="KR110" s="54" t="str">
        <f>IF('Final Exam'!AC$1=$A110,'Final Exam'!AC$46," ")</f>
        <v xml:space="preserve"> </v>
      </c>
      <c r="KS110" s="54" t="str">
        <f>IF('Final Exam'!AC$2=$A110,'Final Exam'!AC$46," ")</f>
        <v xml:space="preserve"> </v>
      </c>
      <c r="KT110" s="54" t="str">
        <f>IF('Final Exam'!AD$1=$A110,'Final Exam'!AD$46," ")</f>
        <v xml:space="preserve"> </v>
      </c>
      <c r="KU110" s="54" t="str">
        <f>IF('Final Exam'!AD$2=$A110,'Final Exam'!AD$46," ")</f>
        <v xml:space="preserve"> </v>
      </c>
      <c r="KV110" s="54" t="str">
        <f>IF('Final Exam'!AE$1=$A110,'Final Exam'!AE$46," ")</f>
        <v xml:space="preserve"> </v>
      </c>
      <c r="KW110" s="54" t="str">
        <f>IF('Final Exam'!AE$2=$A110,'Final Exam'!AE$46," ")</f>
        <v xml:space="preserve"> </v>
      </c>
      <c r="KX110" s="54" t="str">
        <f>IF('Final Exam'!AF$1=$A110,'Final Exam'!AF$46," ")</f>
        <v xml:space="preserve"> </v>
      </c>
      <c r="KY110" s="54" t="str">
        <f>IF('Final Exam'!AF$2=$A110,'Final Exam'!AF$46," ")</f>
        <v xml:space="preserve"> </v>
      </c>
      <c r="KZ110" s="54" t="str">
        <f>IF('Final Exam'!AG$1=$A110,'Final Exam'!AG$46," ")</f>
        <v xml:space="preserve"> </v>
      </c>
      <c r="LA110" s="54" t="str">
        <f>IF('Final Exam'!AG$2=$A110,'Final Exam'!AG$46," ")</f>
        <v xml:space="preserve"> </v>
      </c>
      <c r="LC110" s="180" t="str">
        <f>IF('Incomplete Final'!C$1=$A110,'Incomplete Final'!C$46," ")</f>
        <v xml:space="preserve"> </v>
      </c>
      <c r="LD110" s="180" t="str">
        <f>IF('Incomplete Final'!C$2=$A110,'Incomplete Final'!C$46," ")</f>
        <v xml:space="preserve"> </v>
      </c>
      <c r="LE110" s="180" t="str">
        <f>IF('Incomplete Final'!D$1=$A110,'Incomplete Final'!D$46," ")</f>
        <v xml:space="preserve"> </v>
      </c>
      <c r="LF110" s="180" t="str">
        <f>IF('Incomplete Final'!D$2=$A110,'Incomplete Final'!D$46," ")</f>
        <v xml:space="preserve"> </v>
      </c>
      <c r="LG110" s="180" t="str">
        <f>IF('Incomplete Final'!E$1=$A110,'Incomplete Final'!E$46," ")</f>
        <v xml:space="preserve"> </v>
      </c>
      <c r="LH110" s="180" t="str">
        <f>IF('Incomplete Final'!E$2=$A110,'Incomplete Final'!E$46," ")</f>
        <v xml:space="preserve"> </v>
      </c>
      <c r="LI110" s="180" t="str">
        <f>IF('Incomplete Final'!F$1=$A110,'Incomplete Final'!F$46," ")</f>
        <v xml:space="preserve"> </v>
      </c>
      <c r="LJ110" s="180" t="str">
        <f>IF('Incomplete Final'!F$2=$A110,'Incomplete Final'!F$46," ")</f>
        <v xml:space="preserve"> </v>
      </c>
      <c r="LK110" s="180" t="str">
        <f>IF('Incomplete Final'!G$1=$A110,'Incomplete Final'!G$46," ")</f>
        <v xml:space="preserve"> </v>
      </c>
      <c r="LL110" s="180" t="str">
        <f>IF('Incomplete Final'!G$2=$A110,'Incomplete Final'!G$46," ")</f>
        <v xml:space="preserve"> </v>
      </c>
      <c r="LM110" s="180" t="str">
        <f>IF('Incomplete Final'!H$1=$A110,'Incomplete Final'!H$46," ")</f>
        <v xml:space="preserve"> </v>
      </c>
      <c r="LN110" s="180" t="str">
        <f>IF('Incomplete Final'!H$2=$A110,'Incomplete Final'!H$46," ")</f>
        <v xml:space="preserve"> </v>
      </c>
      <c r="LO110" s="180" t="str">
        <f>IF('Incomplete Final'!I$1=$A110,'Incomplete Final'!I$46," ")</f>
        <v xml:space="preserve"> </v>
      </c>
      <c r="LP110" s="180" t="str">
        <f>IF('Incomplete Final'!I$2=$A110,'Incomplete Final'!I$46," ")</f>
        <v xml:space="preserve"> </v>
      </c>
      <c r="LQ110" s="180" t="str">
        <f>IF('Incomplete Final'!J$1=$A110,'Incomplete Final'!J$46," ")</f>
        <v xml:space="preserve"> </v>
      </c>
      <c r="LR110" s="180" t="str">
        <f>IF('Incomplete Final'!J$2=$A110,'Incomplete Final'!J$46," ")</f>
        <v xml:space="preserve"> </v>
      </c>
      <c r="LS110" s="180" t="str">
        <f>IF('Incomplete Final'!K$1=$A110,'Incomplete Final'!K$46," ")</f>
        <v xml:space="preserve"> </v>
      </c>
      <c r="LT110" s="180" t="str">
        <f>IF('Incomplete Final'!K$2=$A110,'Incomplete Final'!K$46," ")</f>
        <v xml:space="preserve"> </v>
      </c>
      <c r="LU110" s="180" t="str">
        <f>IF('Incomplete Final'!L$1=$A110,'Incomplete Final'!L$46," ")</f>
        <v xml:space="preserve"> </v>
      </c>
      <c r="LV110" s="180" t="str">
        <f>IF('Incomplete Final'!L$2=$A110,'Incomplete Final'!L$46," ")</f>
        <v xml:space="preserve"> </v>
      </c>
      <c r="LW110" s="180" t="str">
        <f>IF('Incomplete Final'!M$1=$A110,'Incomplete Final'!M$46," ")</f>
        <v xml:space="preserve"> </v>
      </c>
      <c r="LX110" s="180" t="str">
        <f>IF('Incomplete Final'!M$2=$A110,'Incomplete Final'!M$46," ")</f>
        <v xml:space="preserve"> </v>
      </c>
      <c r="LY110" s="180" t="str">
        <f>IF('Incomplete Final'!N$1=$A110,'Incomplete Final'!N$46," ")</f>
        <v xml:space="preserve"> </v>
      </c>
      <c r="LZ110" s="180" t="str">
        <f>IF('Incomplete Final'!N$2=$A110,'Incomplete Final'!N$46," ")</f>
        <v xml:space="preserve"> </v>
      </c>
      <c r="MA110" s="180" t="str">
        <f>IF('Incomplete Final'!O$1=$A110,'Incomplete Final'!O$46," ")</f>
        <v xml:space="preserve"> </v>
      </c>
      <c r="MB110" s="180" t="str">
        <f>IF('Incomplete Final'!O$2=$A110,'Incomplete Final'!AB$46," ")</f>
        <v xml:space="preserve"> </v>
      </c>
      <c r="MC110" s="180" t="str">
        <f>IF('Incomplete Final'!P$1=$A110,'Incomplete Final'!P$46," ")</f>
        <v xml:space="preserve"> </v>
      </c>
      <c r="MD110" s="180" t="str">
        <f>IF('Incomplete Final'!P$2=$A110,'Incomplete Final'!P$46," ")</f>
        <v xml:space="preserve"> </v>
      </c>
      <c r="ME110" s="180" t="str">
        <f>IF('Incomplete Final'!Q$1=$A110,'Incomplete Final'!Q$46," ")</f>
        <v xml:space="preserve"> </v>
      </c>
      <c r="MF110" s="180" t="str">
        <f>IF('Incomplete Final'!Q$2=$A110,'Incomplete Final'!Q$46," ")</f>
        <v xml:space="preserve"> </v>
      </c>
      <c r="MG110" s="180" t="str">
        <f>IF('Incomplete Final'!R$1=$A110,'Incomplete Final'!R$46," ")</f>
        <v xml:space="preserve"> </v>
      </c>
      <c r="MH110" s="180" t="str">
        <f>IF('Incomplete Final'!R$2=$A110,'Incomplete Final'!R$46," ")</f>
        <v xml:space="preserve"> </v>
      </c>
      <c r="MI110" s="180" t="str">
        <f>IF('Incomplete Final'!S$1=$A110,'Incomplete Final'!S$46," ")</f>
        <v xml:space="preserve"> </v>
      </c>
      <c r="MJ110" s="180" t="str">
        <f>IF('Incomplete Final'!S$2=$A110,'Incomplete Final'!S$46," ")</f>
        <v xml:space="preserve"> </v>
      </c>
      <c r="MK110" s="180" t="str">
        <f>IF('Incomplete Final'!T$1=$A110,'Incomplete Final'!T$46," ")</f>
        <v xml:space="preserve"> </v>
      </c>
      <c r="ML110" s="180" t="str">
        <f>IF('Incomplete Final'!T$2=$A110,'Incomplete Final'!T$46," ")</f>
        <v xml:space="preserve"> </v>
      </c>
      <c r="MM110" s="180" t="str">
        <f>IF('Incomplete Final'!U$1=$A110,'Incomplete Final'!U$46," ")</f>
        <v xml:space="preserve"> </v>
      </c>
      <c r="MN110" s="180" t="str">
        <f>IF('Incomplete Final'!U$2=$A110,'Incomplete Final'!U$46," ")</f>
        <v xml:space="preserve"> </v>
      </c>
      <c r="MO110" s="180" t="str">
        <f>IF('Incomplete Final'!V$1=$A110,'Incomplete Final'!V$46," ")</f>
        <v xml:space="preserve"> </v>
      </c>
      <c r="MP110" s="180" t="str">
        <f>IF('Incomplete Final'!V$2=$A110,'Incomplete Final'!V$46," ")</f>
        <v xml:space="preserve"> </v>
      </c>
      <c r="MQ110" s="180" t="str">
        <f>IF('Incomplete Final'!W$1=$A110,'Incomplete Final'!W$46," ")</f>
        <v xml:space="preserve"> </v>
      </c>
      <c r="MR110" s="180" t="str">
        <f>IF('Incomplete Final'!W$2=$A110,'Incomplete Final'!W$46," ")</f>
        <v xml:space="preserve"> </v>
      </c>
      <c r="MS110" s="180" t="str">
        <f>IF('Incomplete Final'!X$1=$A110,'Incomplete Final'!X$46," ")</f>
        <v xml:space="preserve"> </v>
      </c>
      <c r="MT110" s="180" t="str">
        <f>IF('Incomplete Final'!X$2=$A110,'Incomplete Final'!X$46," ")</f>
        <v xml:space="preserve"> </v>
      </c>
      <c r="MU110" s="180" t="str">
        <f>IF('Incomplete Final'!Y$1=$A110,'Incomplete Final'!Y$46," ")</f>
        <v xml:space="preserve"> </v>
      </c>
      <c r="MV110" s="180" t="str">
        <f>IF('Incomplete Final'!Y$2=$A110,'Incomplete Final'!Y$46," ")</f>
        <v xml:space="preserve"> </v>
      </c>
      <c r="MW110" s="180" t="str">
        <f>IF('Incomplete Final'!Z$1=$A110,'Incomplete Final'!Z$46," ")</f>
        <v xml:space="preserve"> </v>
      </c>
      <c r="MX110" s="180" t="str">
        <f>IF('Incomplete Final'!Z$2=$A110,'Incomplete Final'!Z$46," ")</f>
        <v xml:space="preserve"> </v>
      </c>
      <c r="MY110" s="180" t="str">
        <f>IF('Incomplete Final'!AA$1=$A110,'Incomplete Final'!AA$46," ")</f>
        <v xml:space="preserve"> </v>
      </c>
      <c r="MZ110" s="180" t="str">
        <f>IF('Incomplete Final'!AA$2=$A110,'Incomplete Final'!AA$46," ")</f>
        <v xml:space="preserve"> </v>
      </c>
      <c r="NA110" s="180" t="str">
        <f>IF('Incomplete Final'!AB$1=$A110,'Incomplete Final'!AB$46," ")</f>
        <v xml:space="preserve"> </v>
      </c>
      <c r="NB110" s="180" t="str">
        <f>IF('Incomplete Final'!AB$2=$A110,'Incomplete Final'!AB$46," ")</f>
        <v xml:space="preserve"> </v>
      </c>
      <c r="NC110" s="180" t="str">
        <f>IF('Incomplete Final'!AC$1=$A110,'Incomplete Final'!AC$46," ")</f>
        <v xml:space="preserve"> </v>
      </c>
      <c r="ND110" s="180" t="str">
        <f>IF('Incomplete Final'!AC$2=$A110,'Incomplete Final'!AC$46," ")</f>
        <v xml:space="preserve"> </v>
      </c>
      <c r="NE110" s="180" t="str">
        <f>IF('Incomplete Final'!AD$1=$A110,'Incomplete Final'!AD$46," ")</f>
        <v xml:space="preserve"> </v>
      </c>
      <c r="NF110" s="180" t="str">
        <f>IF('Incomplete Final'!AD$2=$A110,'Incomplete Final'!AD$46," ")</f>
        <v xml:space="preserve"> </v>
      </c>
      <c r="NG110" s="180" t="str">
        <f>IF('Incomplete Final'!AE$1=$A110,'Incomplete Final'!AE$46," ")</f>
        <v xml:space="preserve"> </v>
      </c>
      <c r="NH110" s="180" t="str">
        <f>IF('Incomplete Final'!AE$2=$A110,'Incomplete Final'!AE$46," ")</f>
        <v xml:space="preserve"> </v>
      </c>
      <c r="NI110" s="180" t="str">
        <f>IF('Incomplete Final'!AF$1=$A110,'Incomplete Final'!AF$46," ")</f>
        <v xml:space="preserve"> </v>
      </c>
      <c r="NJ110" s="180" t="str">
        <f>IF('Incomplete Final'!AF$2=$A110,'Incomplete Final'!AF$46," ")</f>
        <v xml:space="preserve"> </v>
      </c>
      <c r="NK110" s="180" t="str">
        <f>IF('Incomplete Final'!AG$1=$A110,'Incomplete Final'!AG$46," ")</f>
        <v xml:space="preserve"> </v>
      </c>
      <c r="NL110" s="180" t="str">
        <f>IF('Incomplete Final'!AG$2=$A110,'Incomplete Final'!AG$46," ")</f>
        <v xml:space="preserve"> </v>
      </c>
      <c r="NN110" s="53" t="str">
        <f>IF('Laboratory Final'!C$1=$A110,'Laboratory Final'!C$46," ")</f>
        <v xml:space="preserve"> </v>
      </c>
      <c r="NO110" s="53" t="str">
        <f>IF('Laboratory Final'!C$2=$A110,'Laboratory Final'!C$46," ")</f>
        <v xml:space="preserve"> </v>
      </c>
      <c r="NP110" s="53" t="str">
        <f>IF('Laboratory Final'!D$1=$A110,'Laboratory Final'!D$46," ")</f>
        <v xml:space="preserve"> </v>
      </c>
      <c r="NQ110" s="53" t="str">
        <f>IF('Laboratory Final'!D$2=$A110,'Laboratory Final'!D$46," ")</f>
        <v xml:space="preserve"> </v>
      </c>
      <c r="NR110" s="53" t="str">
        <f>IF('Laboratory Final'!E$1=$A110,'Laboratory Final'!E$46," ")</f>
        <v xml:space="preserve"> </v>
      </c>
      <c r="NS110" s="53" t="str">
        <f>IF('Laboratory Final'!E$2=$A110,'Laboratory Final'!E$46," ")</f>
        <v xml:space="preserve"> </v>
      </c>
      <c r="NT110" s="53" t="str">
        <f>IF('Laboratory Final'!F$1=$A110,'Laboratory Final'!F$46," ")</f>
        <v xml:space="preserve"> </v>
      </c>
      <c r="NU110" s="53" t="str">
        <f>IF('Laboratory Final'!F$2=$A110,'Laboratory Final'!F$46," ")</f>
        <v xml:space="preserve"> </v>
      </c>
      <c r="NV110" s="53" t="str">
        <f>IF('Laboratory Final'!G$1=$A110,'Laboratory Final'!G$46," ")</f>
        <v xml:space="preserve"> </v>
      </c>
      <c r="NW110" s="53" t="str">
        <f>IF('Laboratory Final'!G$2=$A110,'Laboratory Final'!G$46," ")</f>
        <v xml:space="preserve"> </v>
      </c>
      <c r="NX110" s="53" t="str">
        <f>IF('Laboratory Final'!H$1=$A110,'Laboratory Final'!H$46," ")</f>
        <v xml:space="preserve"> </v>
      </c>
      <c r="NY110" s="53" t="str">
        <f>IF('Laboratory Final'!H$2=$A110,'Laboratory Final'!H$46," ")</f>
        <v xml:space="preserve"> </v>
      </c>
      <c r="NZ110" s="53" t="str">
        <f>IF('Laboratory Final'!I$1=$A110,'Laboratory Final'!I$46," ")</f>
        <v xml:space="preserve"> </v>
      </c>
      <c r="OA110" s="53" t="str">
        <f>IF('Laboratory Final'!I$2=$A110,'Laboratory Final'!I$46," ")</f>
        <v xml:space="preserve"> </v>
      </c>
      <c r="OB110" s="53" t="str">
        <f>IF('Laboratory Final'!J$1=$A110,'Laboratory Final'!J$46," ")</f>
        <v xml:space="preserve"> </v>
      </c>
      <c r="OC110" s="53" t="str">
        <f>IF('Laboratory Final'!J$2=$A110,'Laboratory Final'!J$46," ")</f>
        <v xml:space="preserve"> </v>
      </c>
      <c r="OD110" s="53" t="str">
        <f>IF('Laboratory Final'!K$1=$A110,'Laboratory Final'!K$46," ")</f>
        <v xml:space="preserve"> </v>
      </c>
      <c r="OE110" s="53" t="str">
        <f>IF('Laboratory Final'!K$2=$A110,'Laboratory Final'!K$46," ")</f>
        <v xml:space="preserve"> </v>
      </c>
      <c r="OF110" s="53" t="str">
        <f>IF('Laboratory Final'!L$1=$A110,'Laboratory Final'!L$46," ")</f>
        <v xml:space="preserve"> </v>
      </c>
      <c r="OG110" s="53" t="str">
        <f>IF('Laboratory Final'!L$2=$A110,'Laboratory Final'!L$46," ")</f>
        <v xml:space="preserve"> </v>
      </c>
      <c r="OI110" s="192" t="e">
        <f t="shared" si="14"/>
        <v>#DIV/0!</v>
      </c>
    </row>
    <row r="111" spans="1:399" ht="18.75" x14ac:dyDescent="0.3">
      <c r="A111" s="48">
        <v>6</v>
      </c>
      <c r="B111" s="55">
        <f>IF(SUM(D111:LA111)=0,0,AVERAGE('Course Analysis'!D111:LA111))</f>
        <v>0</v>
      </c>
      <c r="D111" s="53" t="str">
        <f>IF(Project!C$1=$A111,Project!C$46," ")</f>
        <v xml:space="preserve"> </v>
      </c>
      <c r="E111" s="53" t="str">
        <f>IF(Project!C$2=$A111,Project!C$46," ")</f>
        <v xml:space="preserve"> </v>
      </c>
      <c r="F111" s="53" t="str">
        <f>IF(Project!D$1=$A111,Project!D$46," ")</f>
        <v xml:space="preserve"> </v>
      </c>
      <c r="G111" s="53" t="str">
        <f>IF(Project!D$2=$A111,Project!D$46," ")</f>
        <v xml:space="preserve"> </v>
      </c>
      <c r="H111" s="53" t="str">
        <f>IF(Project!E$1=$A111,Project!E$46," ")</f>
        <v xml:space="preserve"> </v>
      </c>
      <c r="I111" s="53" t="str">
        <f>IF(Project!E$2=$A111,Project!E$46," ")</f>
        <v xml:space="preserve"> </v>
      </c>
      <c r="J111" s="53" t="str">
        <f>IF(Project!F$1=$A111,Project!F$46," ")</f>
        <v xml:space="preserve"> </v>
      </c>
      <c r="K111" s="53" t="str">
        <f>IF(Project!F$2=$A111,Project!F$46," ")</f>
        <v xml:space="preserve"> </v>
      </c>
      <c r="L111" s="53" t="str">
        <f>IF(Project!G$1=$A111,Project!G$46," ")</f>
        <v xml:space="preserve"> </v>
      </c>
      <c r="M111" s="53" t="str">
        <f>IF(Project!G$2=$A111,Project!G$46," ")</f>
        <v xml:space="preserve"> </v>
      </c>
      <c r="N111" s="53" t="str">
        <f>IF(Project!H$1=$A111,Project!H$46," ")</f>
        <v xml:space="preserve"> </v>
      </c>
      <c r="O111" s="53" t="str">
        <f>IF(Project!H$2=$A111,Project!H$46," ")</f>
        <v xml:space="preserve"> </v>
      </c>
      <c r="P111" s="53" t="str">
        <f>IF(Project!I$1=$A111,Project!I$46," ")</f>
        <v xml:space="preserve"> </v>
      </c>
      <c r="Q111" s="53" t="str">
        <f>IF(Project!I$2=$A111,Project!I$46," ")</f>
        <v xml:space="preserve"> </v>
      </c>
      <c r="R111" s="53" t="str">
        <f>IF(Project!J$1=$A111,Project!J$46," ")</f>
        <v xml:space="preserve"> </v>
      </c>
      <c r="S111" s="53" t="str">
        <f>IF(Project!J$2=$A111,Project!J$46," ")</f>
        <v xml:space="preserve"> </v>
      </c>
      <c r="T111" s="53" t="str">
        <f>IF(Project!K$1=$A111,Project!K$46," ")</f>
        <v xml:space="preserve"> </v>
      </c>
      <c r="U111" s="53" t="str">
        <f>IF(Project!K$2=$A111,Project!K$46," ")</f>
        <v xml:space="preserve"> </v>
      </c>
      <c r="V111" s="53" t="str">
        <f>IF(Project!L$1=$A111,Project!L$46," ")</f>
        <v xml:space="preserve"> </v>
      </c>
      <c r="W111" s="53" t="str">
        <f>IF(Project!L$2=$A111,Project!L$46," ")</f>
        <v xml:space="preserve"> </v>
      </c>
      <c r="Y111" s="53" t="str">
        <f>IF(Homework!C$1=$A111,Homework!C$46," ")</f>
        <v xml:space="preserve"> </v>
      </c>
      <c r="Z111" s="53" t="str">
        <f>IF(Homework!C$2=$A111,Homework!C$46," ")</f>
        <v xml:space="preserve"> </v>
      </c>
      <c r="AA111" s="53" t="str">
        <f>IF(Homework!D$1=$A111,Homework!D$46," ")</f>
        <v xml:space="preserve"> </v>
      </c>
      <c r="AB111" s="53" t="str">
        <f>IF(Homework!D$2=$A111,Homework!D$46," ")</f>
        <v xml:space="preserve"> </v>
      </c>
      <c r="AC111" s="53" t="str">
        <f>IF(Homework!E$1=$A111,Homework!E$46," ")</f>
        <v xml:space="preserve"> </v>
      </c>
      <c r="AD111" s="53" t="str">
        <f>IF(Homework!E$2=$A111,Homework!E$46," ")</f>
        <v xml:space="preserve"> </v>
      </c>
      <c r="AE111" s="53" t="str">
        <f>IF(Homework!F$1=$A111,Homework!F$46," ")</f>
        <v xml:space="preserve"> </v>
      </c>
      <c r="AF111" s="53" t="str">
        <f>IF(Homework!F$2=$A111,Homework!F$46," ")</f>
        <v xml:space="preserve"> </v>
      </c>
      <c r="AG111" s="53" t="str">
        <f>IF(Homework!G$1=$A111,Homework!G$46," ")</f>
        <v xml:space="preserve"> </v>
      </c>
      <c r="AH111" s="53" t="str">
        <f>IF(Homework!G$2=$A111,Homework!G$46," ")</f>
        <v xml:space="preserve"> </v>
      </c>
      <c r="AI111" s="53" t="str">
        <f>IF(Homework!H$1=$A111,Homework!H$46," ")</f>
        <v xml:space="preserve"> </v>
      </c>
      <c r="AJ111" s="53" t="str">
        <f>IF(Homework!H$2=$A111,Homework!H$46," ")</f>
        <v xml:space="preserve"> </v>
      </c>
      <c r="AK111" s="53" t="str">
        <f>IF(Homework!I$1=$A111,Homework!I$46," ")</f>
        <v xml:space="preserve"> </v>
      </c>
      <c r="AL111" s="53" t="str">
        <f>IF(Homework!I$2=$A111,Homework!I$46," ")</f>
        <v xml:space="preserve"> </v>
      </c>
      <c r="AM111" s="53" t="str">
        <f>IF(Homework!J$1=$A111,Homework!J$46," ")</f>
        <v xml:space="preserve"> </v>
      </c>
      <c r="AN111" s="53" t="str">
        <f>IF(Homework!J$2=$A111,Homework!J$46," ")</f>
        <v xml:space="preserve"> </v>
      </c>
      <c r="AO111" s="53" t="str">
        <f>IF(Homework!K$1=$A111,Homework!K$46," ")</f>
        <v xml:space="preserve"> </v>
      </c>
      <c r="AP111" s="53" t="str">
        <f>IF(Homework!K$2=$A111,Homework!K$46," ")</f>
        <v xml:space="preserve"> </v>
      </c>
      <c r="AQ111" s="53" t="str">
        <f>IF(Homework!L$1=$A111,Homework!L$46," ")</f>
        <v xml:space="preserve"> </v>
      </c>
      <c r="AR111" s="53" t="str">
        <f>IF(Homework!L$2=$A111,Homework!L$46," ")</f>
        <v xml:space="preserve"> </v>
      </c>
      <c r="AS111" s="53" t="str">
        <f>IF(Homework!M$1=$A111,Homework!M$46," ")</f>
        <v xml:space="preserve"> </v>
      </c>
      <c r="AT111" s="53" t="str">
        <f>IF(Homework!M$2=$A111,Homework!M$46," ")</f>
        <v xml:space="preserve"> </v>
      </c>
      <c r="AU111" s="53" t="str">
        <f>IF(Homework!N$1=$A111,Homework!N$46," ")</f>
        <v xml:space="preserve"> </v>
      </c>
      <c r="AV111" s="53" t="str">
        <f>IF(Homework!N$2=$A111,Homework!N$46," ")</f>
        <v xml:space="preserve"> </v>
      </c>
      <c r="AW111" s="53" t="str">
        <f>IF(Homework!O$1=$A111,Homework!O$46," ")</f>
        <v xml:space="preserve"> </v>
      </c>
      <c r="AX111" s="53" t="str">
        <f>IF(Homework!O$2=$A111,Homework!O$46," ")</f>
        <v xml:space="preserve"> </v>
      </c>
      <c r="AY111" s="53" t="str">
        <f>IF(Homework!P$1=$A111,Homework!P$46," ")</f>
        <v xml:space="preserve"> </v>
      </c>
      <c r="AZ111" s="53" t="str">
        <f>IF(Homework!P$2=$A111,Homework!P$46," ")</f>
        <v xml:space="preserve"> </v>
      </c>
      <c r="BA111" s="53" t="str">
        <f>IF(Homework!Q$1=$A111,Homework!Q$46," ")</f>
        <v xml:space="preserve"> </v>
      </c>
      <c r="BB111" s="53" t="str">
        <f>IF(Homework!Q$2=$A111,Homework!Q$46," ")</f>
        <v xml:space="preserve"> </v>
      </c>
      <c r="BC111" s="53" t="str">
        <f>IF(Homework!R$1=$A111,Homework!R$46," ")</f>
        <v xml:space="preserve"> </v>
      </c>
      <c r="BD111" s="53" t="str">
        <f>IF(Homework!R$2=$A111,Homework!R$46," ")</f>
        <v xml:space="preserve"> </v>
      </c>
      <c r="BE111" s="53" t="str">
        <f>IF(Homework!S$1=$A111,Homework!S$46," ")</f>
        <v xml:space="preserve"> </v>
      </c>
      <c r="BF111" s="53" t="str">
        <f>IF(Homework!S$2=$A111,Homework!S$46," ")</f>
        <v xml:space="preserve"> </v>
      </c>
      <c r="BG111" s="53" t="str">
        <f>IF(Homework!T$1=$A111,Homework!T$46," ")</f>
        <v xml:space="preserve"> </v>
      </c>
      <c r="BH111" s="53" t="str">
        <f>IF(Homework!T$2=$A111,Homework!T$46," ")</f>
        <v xml:space="preserve"> </v>
      </c>
      <c r="BI111" s="53" t="str">
        <f>IF(Homework!U$1=$A111,Homework!U$46," ")</f>
        <v xml:space="preserve"> </v>
      </c>
      <c r="BJ111" s="53" t="str">
        <f>IF(Homework!U$2=$A111,Homework!U$46," ")</f>
        <v xml:space="preserve"> </v>
      </c>
      <c r="BK111" s="53" t="str">
        <f>IF(Homework!V$1=$A111,Homework!V$46," ")</f>
        <v xml:space="preserve"> </v>
      </c>
      <c r="BL111" s="53" t="str">
        <f>IF(Homework!V$2=$A111,Homework!V$46," ")</f>
        <v xml:space="preserve"> </v>
      </c>
      <c r="BN111" s="66" t="str">
        <f>IF(Laboratory!C$1=$A111,Laboratory!C$46," ")</f>
        <v xml:space="preserve"> </v>
      </c>
      <c r="BO111" s="66" t="str">
        <f>IF(Laboratory!C$2=$A111,Laboratory!C$46," ")</f>
        <v xml:space="preserve"> </v>
      </c>
      <c r="BP111" s="66" t="str">
        <f>IF(Laboratory!D$1=$A111,Laboratory!D$46," ")</f>
        <v xml:space="preserve"> </v>
      </c>
      <c r="BQ111" s="66" t="str">
        <f>IF(Laboratory!D$2=$A111,Laboratory!D$46," ")</f>
        <v xml:space="preserve"> </v>
      </c>
      <c r="BR111" s="66" t="str">
        <f>IF(Laboratory!E$1=$A111,Laboratory!E$46," ")</f>
        <v xml:space="preserve"> </v>
      </c>
      <c r="BS111" s="66" t="str">
        <f>IF(Laboratory!E$2=$A111,Laboratory!E$46," ")</f>
        <v xml:space="preserve"> </v>
      </c>
      <c r="BT111" s="66" t="str">
        <f>IF(Laboratory!F$1=$A111,Laboratory!F$46," ")</f>
        <v xml:space="preserve"> </v>
      </c>
      <c r="BU111" s="66" t="str">
        <f>IF(Laboratory!F$2=$A111,Laboratory!F$46," ")</f>
        <v xml:space="preserve"> </v>
      </c>
      <c r="BV111" s="66" t="str">
        <f>IF(Laboratory!G$1=$A111,Laboratory!G$46," ")</f>
        <v xml:space="preserve"> </v>
      </c>
      <c r="BW111" s="66" t="str">
        <f>IF(Laboratory!G$2=$A111,Laboratory!G$46," ")</f>
        <v xml:space="preserve"> </v>
      </c>
      <c r="BX111" s="66" t="str">
        <f>IF(Laboratory!H$1=$A111,Laboratory!H$46," ")</f>
        <v xml:space="preserve"> </v>
      </c>
      <c r="BY111" s="66" t="str">
        <f>IF(Laboratory!H$2=$A111,Laboratory!H$46," ")</f>
        <v xml:space="preserve"> </v>
      </c>
      <c r="BZ111" s="66"/>
      <c r="CA111" s="66" t="str">
        <f>IF(Laboratory!I$2=$A111,Laboratory!I$46," ")</f>
        <v xml:space="preserve"> </v>
      </c>
      <c r="CB111" s="66"/>
      <c r="CC111" s="66" t="str">
        <f>IF(Laboratory!J$2=$A111,Laboratory!J$46," ")</f>
        <v xml:space="preserve"> </v>
      </c>
      <c r="CD111" s="66" t="str">
        <f>IF(Laboratory!K$1=$A111,Laboratory!K$46," ")</f>
        <v xml:space="preserve"> </v>
      </c>
      <c r="CE111" s="66" t="str">
        <f>IF(Laboratory!K$2=$A111,Laboratory!K$46," ")</f>
        <v xml:space="preserve"> </v>
      </c>
      <c r="CF111" s="66" t="str">
        <f>IF(Laboratory!L$1=$A111,Laboratory!L$46," ")</f>
        <v xml:space="preserve"> </v>
      </c>
      <c r="CG111" s="66" t="str">
        <f>IF(Laboratory!L$2=$A111,Laboratory!L$46," ")</f>
        <v xml:space="preserve"> </v>
      </c>
      <c r="CH111" s="66" t="str">
        <f>IF(Laboratory!M$1=$A111,Laboratory!M$46," ")</f>
        <v xml:space="preserve"> </v>
      </c>
      <c r="CI111" s="66" t="str">
        <f>IF(Laboratory!M$2=$A111,Laboratory!M$46," ")</f>
        <v xml:space="preserve"> </v>
      </c>
      <c r="CJ111" s="66" t="str">
        <f>IF(Laboratory!N$1=$A111,Laboratory!N$46," ")</f>
        <v xml:space="preserve"> </v>
      </c>
      <c r="CK111" s="66" t="str">
        <f>IF(Laboratory!N$2=$A111,Laboratory!N$46," ")</f>
        <v xml:space="preserve"> </v>
      </c>
      <c r="CL111" s="66" t="str">
        <f>IF(Laboratory!O$1=$A111,Laboratory!O$46," ")</f>
        <v xml:space="preserve"> </v>
      </c>
      <c r="CM111" s="66" t="str">
        <f>IF(Laboratory!O$2=$A111,Laboratory!O$46," ")</f>
        <v xml:space="preserve"> </v>
      </c>
      <c r="CN111" s="66" t="str">
        <f>IF(Laboratory!P$1=$A111,Laboratory!P$46," ")</f>
        <v xml:space="preserve"> </v>
      </c>
      <c r="CO111" s="66" t="str">
        <f>IF(Laboratory!P$2=$A111,Laboratory!P$46," ")</f>
        <v xml:space="preserve"> </v>
      </c>
      <c r="CQ111" s="52" t="str">
        <f>IF(Quizzes!C$1=$A111,Quizzes!C$46," ")</f>
        <v xml:space="preserve"> </v>
      </c>
      <c r="CR111" s="52" t="str">
        <f>IF(Quizzes!C$2=$A111,Quizzes!C$46," ")</f>
        <v xml:space="preserve"> </v>
      </c>
      <c r="CS111" s="52" t="str">
        <f>IF(Quizzes!D$1=$A111,Quizzes!D$46," ")</f>
        <v xml:space="preserve"> </v>
      </c>
      <c r="CT111" s="52" t="str">
        <f>IF(Quizzes!D$2=$A111,Quizzes!D$46," ")</f>
        <v xml:space="preserve"> </v>
      </c>
      <c r="CU111" s="52" t="str">
        <f>IF(Quizzes!E$1=$A111,Quizzes!E$46," ")</f>
        <v xml:space="preserve"> </v>
      </c>
      <c r="CV111" s="52" t="str">
        <f>IF(Quizzes!E$2=$A111,Quizzes!E$46," ")</f>
        <v xml:space="preserve"> </v>
      </c>
      <c r="CW111" s="52" t="str">
        <f>IF(Quizzes!F$1=$A111,Quizzes!F$46," ")</f>
        <v xml:space="preserve"> </v>
      </c>
      <c r="CX111" s="52" t="str">
        <f>IF(Quizzes!F$2=$A111,Quizzes!F$46," ")</f>
        <v xml:space="preserve"> </v>
      </c>
      <c r="CY111" s="52" t="str">
        <f>IF(Quizzes!G$1=$A111,Quizzes!G$46," ")</f>
        <v xml:space="preserve"> </v>
      </c>
      <c r="CZ111" s="52" t="str">
        <f>IF(Quizzes!G$2=$A111,Quizzes!G$46," ")</f>
        <v xml:space="preserve"> </v>
      </c>
      <c r="DA111" s="52" t="str">
        <f>IF(Quizzes!H$1=$A111,Quizzes!H$46," ")</f>
        <v xml:space="preserve"> </v>
      </c>
      <c r="DB111" s="52" t="str">
        <f>IF(Quizzes!H$2=$A111,Quizzes!H$46," ")</f>
        <v xml:space="preserve"> </v>
      </c>
      <c r="DC111" s="52" t="str">
        <f>IF(Quizzes!I$1=$A111,Quizzes!I$46," ")</f>
        <v xml:space="preserve"> </v>
      </c>
      <c r="DD111" s="52" t="str">
        <f>IF(Quizzes!I$2=$A111,Quizzes!I$46," ")</f>
        <v xml:space="preserve"> </v>
      </c>
      <c r="DE111" s="52" t="str">
        <f>IF(Quizzes!J$1=$A111,Quizzes!J$46," ")</f>
        <v xml:space="preserve"> </v>
      </c>
      <c r="DF111" s="52" t="str">
        <f>IF(Quizzes!J$2=$A111,Quizzes!J$46," ")</f>
        <v xml:space="preserve"> </v>
      </c>
      <c r="DG111" s="52" t="str">
        <f>IF(Quizzes!K$1=$A111,Quizzes!K$46," ")</f>
        <v xml:space="preserve"> </v>
      </c>
      <c r="DH111" s="52" t="str">
        <f>IF(Quizzes!K$2=$A111,Quizzes!K$46," ")</f>
        <v xml:space="preserve"> </v>
      </c>
      <c r="DI111" s="52" t="str">
        <f>IF(Quizzes!L$1=$A111,Quizzes!L$46," ")</f>
        <v xml:space="preserve"> </v>
      </c>
      <c r="DJ111" s="52" t="str">
        <f>IF(Quizzes!L$2=$A111,Quizzes!L$46," ")</f>
        <v xml:space="preserve"> </v>
      </c>
      <c r="DK111" s="52" t="str">
        <f>IF(Quizzes!M$1=$A111,Quizzes!M$46," ")</f>
        <v xml:space="preserve"> </v>
      </c>
      <c r="DL111" s="52" t="str">
        <f>IF(Quizzes!M$2=$A111,Quizzes!M$46," ")</f>
        <v xml:space="preserve"> </v>
      </c>
      <c r="DM111" s="52" t="str">
        <f>IF(Quizzes!N$1=$A111,Quizzes!N$46," ")</f>
        <v xml:space="preserve"> </v>
      </c>
      <c r="DN111" s="52" t="str">
        <f>IF(Quizzes!N$2=$A111,Quizzes!N$46," ")</f>
        <v xml:space="preserve"> </v>
      </c>
      <c r="DO111" s="52" t="str">
        <f>IF(Quizzes!O$1=$A111,Quizzes!O$46," ")</f>
        <v xml:space="preserve"> </v>
      </c>
      <c r="DP111" s="52" t="str">
        <f>IF(Quizzes!O$2=$A111,Quizzes!O$46," ")</f>
        <v xml:space="preserve"> </v>
      </c>
      <c r="DQ111" s="52" t="str">
        <f>IF(Quizzes!P$1=$A111,Quizzes!P$46," ")</f>
        <v xml:space="preserve"> </v>
      </c>
      <c r="DR111" s="52" t="str">
        <f>IF(Quizzes!P$2=$A111,Quizzes!P$46," ")</f>
        <v xml:space="preserve"> </v>
      </c>
      <c r="DS111" s="52" t="str">
        <f>IF(Quizzes!Q$1=$A111,Quizzes!Q$46," ")</f>
        <v xml:space="preserve"> </v>
      </c>
      <c r="DT111" s="52" t="str">
        <f>IF(Quizzes!Q$1=$A111,Quizzes!Q$46," ")</f>
        <v xml:space="preserve"> </v>
      </c>
      <c r="DV111" s="25" t="str">
        <f>IF('Midterm 1'!C$1=$A111,'Midterm 1'!C$47," ")</f>
        <v xml:space="preserve"> </v>
      </c>
      <c r="DW111" s="25" t="str">
        <f>IF('Midterm 1'!C$2=$A111,'Midterm 1'!C$47," ")</f>
        <v xml:space="preserve"> </v>
      </c>
      <c r="DX111" s="25" t="str">
        <f>IF('Midterm 1'!D$1=$A111,'Midterm 1'!D$47," ")</f>
        <v xml:space="preserve"> </v>
      </c>
      <c r="DY111" s="25" t="str">
        <f>IF('Midterm 1'!D$2=$A111,'Midterm 1'!D$47," ")</f>
        <v xml:space="preserve"> </v>
      </c>
      <c r="DZ111" s="25" t="str">
        <f>IF('Midterm 1'!E$1=$A111,'Midterm 1'!E$47," ")</f>
        <v xml:space="preserve"> </v>
      </c>
      <c r="EA111" s="25" t="str">
        <f>IF('Midterm 1'!E$2=$A111,'Midterm 1'!E$47," ")</f>
        <v xml:space="preserve"> </v>
      </c>
      <c r="EB111" s="25" t="str">
        <f>IF('Midterm 1'!F$1=$A111,'Midterm 1'!F$47," ")</f>
        <v xml:space="preserve"> </v>
      </c>
      <c r="EC111" s="25" t="str">
        <f>IF('Midterm 1'!F$2=$A111,'Midterm 1'!F$47," ")</f>
        <v xml:space="preserve"> </v>
      </c>
      <c r="ED111" s="25" t="str">
        <f>IF('Midterm 1'!G$1=$A111,'Midterm 1'!G$47," ")</f>
        <v xml:space="preserve"> </v>
      </c>
      <c r="EE111" s="25" t="str">
        <f>IF('Midterm 1'!G$2=$A111,'Midterm 1'!G$47," ")</f>
        <v xml:space="preserve"> </v>
      </c>
      <c r="EF111" s="25" t="str">
        <f>IF('Midterm 1'!H$1=$A111,'Midterm 1'!I$47," ")</f>
        <v xml:space="preserve"> </v>
      </c>
      <c r="EG111" s="25" t="str">
        <f>IF('Midterm 1'!H$2=$A111,'Midterm 1'!H$47," ")</f>
        <v xml:space="preserve"> </v>
      </c>
      <c r="EH111" s="25" t="str">
        <f>IF('Midterm 1'!I$1=$A111,'Midterm 1'!I$47," ")</f>
        <v xml:space="preserve"> </v>
      </c>
      <c r="EI111" s="25" t="str">
        <f>IF('Midterm 1'!I$2=$A111,'Midterm 1'!I$47," ")</f>
        <v xml:space="preserve"> </v>
      </c>
      <c r="EJ111" s="25" t="str">
        <f>IF('Midterm 1'!J$1=$A111,'Midterm 1'!J$47," ")</f>
        <v xml:space="preserve"> </v>
      </c>
      <c r="EK111" s="25" t="str">
        <f>IF('Midterm 1'!J$2=$A111,'Midterm 1'!J$47," ")</f>
        <v xml:space="preserve"> </v>
      </c>
      <c r="EL111" s="25" t="str">
        <f>IF('Midterm 1'!K$1=$A111,'Midterm 1'!K$47," ")</f>
        <v xml:space="preserve"> </v>
      </c>
      <c r="EM111" s="25" t="str">
        <f>IF('Midterm 1'!K$2=$A111,'Midterm 1'!K$47," ")</f>
        <v xml:space="preserve"> </v>
      </c>
      <c r="EN111" s="25" t="str">
        <f>IF('Midterm 1'!L$1=$A111,'Midterm 1'!L$47," ")</f>
        <v xml:space="preserve"> </v>
      </c>
      <c r="EO111" s="25" t="str">
        <f>IF('Midterm 1'!L$2=$A111,'Midterm 1'!L$47," ")</f>
        <v xml:space="preserve"> </v>
      </c>
      <c r="EP111" s="25" t="str">
        <f>IF('Midterm 1'!M$1=$A111,'Midterm 1'!M$47," ")</f>
        <v xml:space="preserve"> </v>
      </c>
      <c r="EQ111" s="25" t="str">
        <f>IF('Midterm 1'!M$2=$A111,'Midterm 1'!M$47," ")</f>
        <v xml:space="preserve"> </v>
      </c>
      <c r="ER111" s="25" t="str">
        <f>IF('Midterm 1'!N$1=$A111,'Midterm 1'!N$47," ")</f>
        <v xml:space="preserve"> </v>
      </c>
      <c r="ES111" s="25" t="str">
        <f>IF('Midterm 1'!N$2=$A111,'Midterm 1'!N$47," ")</f>
        <v xml:space="preserve"> </v>
      </c>
      <c r="ET111" s="25" t="str">
        <f>IF('Midterm 1'!O$1=$A111,'Midterm 1'!O$47," ")</f>
        <v xml:space="preserve"> </v>
      </c>
      <c r="EU111" s="25" t="str">
        <f>IF('Midterm 1'!O$2=$A111,'Midterm 1'!O$47," ")</f>
        <v xml:space="preserve"> </v>
      </c>
      <c r="EV111" s="25" t="str">
        <f>IF('Midterm 1'!P$1=$A111,'Midterm 1'!P$47," ")</f>
        <v xml:space="preserve"> </v>
      </c>
      <c r="EW111" s="25" t="str">
        <f>IF('Midterm 1'!P$2=$A111,'Midterm 1'!P$47," ")</f>
        <v xml:space="preserve"> </v>
      </c>
      <c r="EX111" s="25" t="str">
        <f>IF('Midterm 1'!Q$1=$A111,'Midterm 1'!Q$47," ")</f>
        <v xml:space="preserve"> </v>
      </c>
      <c r="EY111" s="25" t="str">
        <f>IF('Midterm 1'!Q$2=$A111,'Midterm 1'!Q$47," ")</f>
        <v xml:space="preserve"> </v>
      </c>
      <c r="EZ111" s="25" t="str">
        <f>IF('Midterm 1'!R$1=$A111,'Midterm 1'!R$47," ")</f>
        <v xml:space="preserve"> </v>
      </c>
      <c r="FA111" s="25" t="str">
        <f>IF('Midterm 1'!R$2=$A111,'Midterm 1'!R$47," ")</f>
        <v xml:space="preserve"> </v>
      </c>
      <c r="FB111" s="25" t="str">
        <f>IF('Midterm 1'!S$1=$A111,'Midterm 1'!S$47," ")</f>
        <v xml:space="preserve"> </v>
      </c>
      <c r="FC111" s="25" t="str">
        <f>IF('Midterm 1'!S$2=$A111,'Midterm 1'!S$47," ")</f>
        <v xml:space="preserve"> </v>
      </c>
      <c r="FD111" s="25" t="str">
        <f>IF('Midterm 1'!T$1=$A111,'Midterm 1'!T$47," ")</f>
        <v xml:space="preserve"> </v>
      </c>
      <c r="FE111" s="25" t="str">
        <f>IF('Midterm 1'!T$2=$A111,'Midterm 1'!T$47," ")</f>
        <v xml:space="preserve"> </v>
      </c>
      <c r="FF111" s="25" t="str">
        <f>IF('Midterm 1'!U$1=$A111,'Midterm 1'!U$47," ")</f>
        <v xml:space="preserve"> </v>
      </c>
      <c r="FG111" s="25" t="str">
        <f>IF('Midterm 1'!U$2=$A111,'Midterm 1'!U$47," ")</f>
        <v xml:space="preserve"> </v>
      </c>
      <c r="FH111" s="25" t="str">
        <f>IF('Midterm 1'!V$1=$A111,'Midterm 1'!V$47," ")</f>
        <v xml:space="preserve"> </v>
      </c>
      <c r="FI111" s="25" t="str">
        <f>IF('Midterm 1'!V$2=$A111,'Midterm 1'!V$47," ")</f>
        <v xml:space="preserve"> </v>
      </c>
      <c r="FJ111" s="25" t="str">
        <f>IF('Midterm 1'!W$1=$A111,'Midterm 1'!W$47," ")</f>
        <v xml:space="preserve"> </v>
      </c>
      <c r="FK111" s="25" t="str">
        <f>IF('Midterm 1'!W$2=$A111,'Midterm 1'!W$47," ")</f>
        <v xml:space="preserve"> </v>
      </c>
      <c r="FL111" s="25" t="str">
        <f>IF('Midterm 1'!X$1=$A111,'Midterm 1'!X$47," ")</f>
        <v xml:space="preserve"> </v>
      </c>
      <c r="FM111" s="25" t="str">
        <f>IF('Midterm 1'!X$2=$A111,'Midterm 1'!X$47," ")</f>
        <v xml:space="preserve"> </v>
      </c>
      <c r="FN111" s="25" t="str">
        <f>IF('Midterm 1'!Y$1=$A111,'Midterm 1'!Y$47," ")</f>
        <v xml:space="preserve"> </v>
      </c>
      <c r="FO111" s="25" t="str">
        <f>IF('Midterm 1'!Y$2=$A111,'Midterm 1'!Y$47," ")</f>
        <v xml:space="preserve"> </v>
      </c>
      <c r="FP111" s="25" t="str">
        <f>IF('Midterm 1'!Z$1=$A111,'Midterm 1'!Z$47," ")</f>
        <v xml:space="preserve"> </v>
      </c>
      <c r="FQ111" s="25" t="str">
        <f>IF('Midterm 1'!Z$2=$A111,'Midterm 1'!Z$47," ")</f>
        <v xml:space="preserve"> </v>
      </c>
      <c r="FR111" s="25" t="str">
        <f>IF('Midterm 1'!AA$1=$A111,'Midterm 1'!AA$47," ")</f>
        <v xml:space="preserve"> </v>
      </c>
      <c r="FS111" s="25" t="str">
        <f>IF('Midterm 1'!AA$2=$A111,'Midterm 1'!AA$47," ")</f>
        <v xml:space="preserve"> </v>
      </c>
      <c r="FT111" s="25" t="str">
        <f>IF('Midterm 1'!AB$1=$A111,'Midterm 1'!AB$47," ")</f>
        <v xml:space="preserve"> </v>
      </c>
      <c r="FU111" s="25" t="str">
        <f>IF('Midterm 1'!AB$2=$A111,'Midterm 1'!AB$47," ")</f>
        <v xml:space="preserve"> </v>
      </c>
      <c r="FV111" s="25" t="str">
        <f>IF('Midterm 1'!AC$1=$A111,'Midterm 1'!AC$47," ")</f>
        <v xml:space="preserve"> </v>
      </c>
      <c r="FW111" s="25" t="str">
        <f>IF('Midterm 1'!AC$2=$A111,'Midterm 1'!AC$47," ")</f>
        <v xml:space="preserve"> </v>
      </c>
      <c r="FX111" s="25" t="str">
        <f>IF('Midterm 1'!AD$1=$A111,'Midterm 1'!AD$47," ")</f>
        <v xml:space="preserve"> </v>
      </c>
      <c r="FY111" s="25" t="str">
        <f>IF('Midterm 1'!AD$2=$A111,'Midterm 1'!AD$47," ")</f>
        <v xml:space="preserve"> </v>
      </c>
      <c r="FZ111" s="25" t="str">
        <f>IF('Midterm 1'!AE$1=$A111,'Midterm 1'!AE$47," ")</f>
        <v xml:space="preserve"> </v>
      </c>
      <c r="GA111" s="25" t="str">
        <f>IF('Midterm 1'!AE$2=$A111,'Midterm 1'!AE$47," ")</f>
        <v xml:space="preserve"> </v>
      </c>
      <c r="GB111" s="25" t="str">
        <f>IF('Midterm 1'!AF$1=$A111,'Midterm 1'!AF$47," ")</f>
        <v xml:space="preserve"> </v>
      </c>
      <c r="GC111" s="25" t="str">
        <f>IF('Midterm 1'!AF$2=$A111,'Midterm 1'!AF$47," ")</f>
        <v xml:space="preserve"> </v>
      </c>
      <c r="GE111" s="25" t="str">
        <f>IF('Midterm 2'!C$1=$A111,'Midterm 2'!C$47," ")</f>
        <v xml:space="preserve"> </v>
      </c>
      <c r="GF111" s="25" t="str">
        <f>IF('Midterm 2'!C$2=$A111,'Midterm 2'!C$47," ")</f>
        <v xml:space="preserve"> </v>
      </c>
      <c r="GG111" s="25" t="str">
        <f>IF('Midterm 2'!D$1=$A111,'Midterm 2'!D$47," ")</f>
        <v xml:space="preserve"> </v>
      </c>
      <c r="GH111" s="25" t="str">
        <f>IF('Midterm 2'!D$2=$A111,'Midterm 2'!D$47," ")</f>
        <v xml:space="preserve"> </v>
      </c>
      <c r="GI111" s="25" t="str">
        <f>IF('Midterm 2'!E$1=$A111,'Midterm 2'!E$47," ")</f>
        <v xml:space="preserve"> </v>
      </c>
      <c r="GJ111" s="25" t="str">
        <f>IF('Midterm 2'!E$2=$A111,'Midterm 2'!E$47," ")</f>
        <v xml:space="preserve"> </v>
      </c>
      <c r="GK111" s="25" t="str">
        <f>IF('Midterm 2'!F$1=$A111,'Midterm 2'!F$47," ")</f>
        <v xml:space="preserve"> </v>
      </c>
      <c r="GL111" s="25" t="str">
        <f>IF('Midterm 2'!F$2=$A111,'Midterm 2'!F$47," ")</f>
        <v xml:space="preserve"> </v>
      </c>
      <c r="GM111" s="25" t="str">
        <f>IF('Midterm 2'!G$1=$A111,'Midterm 2'!G$47," ")</f>
        <v xml:space="preserve"> </v>
      </c>
      <c r="GN111" s="25" t="str">
        <f>IF('Midterm 2'!G$2=$A111,'Midterm 2'!G$47," ")</f>
        <v xml:space="preserve"> </v>
      </c>
      <c r="GO111" s="25" t="str">
        <f>IF('Midterm 2'!H$1=$A111,'Midterm 2'!H$47," ")</f>
        <v xml:space="preserve"> </v>
      </c>
      <c r="GP111" s="25" t="str">
        <f>IF('Midterm 2'!H$2=$A111,'Midterm 2'!H$47," ")</f>
        <v xml:space="preserve"> </v>
      </c>
      <c r="GQ111" s="25" t="str">
        <f>IF('Midterm 2'!I$1=$A111,'Midterm 2'!I$47," ")</f>
        <v xml:space="preserve"> </v>
      </c>
      <c r="GR111" s="25" t="str">
        <f>IF('Midterm 2'!I$2=$A111,'Midterm 2'!I$47," ")</f>
        <v xml:space="preserve"> </v>
      </c>
      <c r="GS111" s="25" t="str">
        <f>IF('Midterm 2'!J$1=$A111,'Midterm 2'!J$47," ")</f>
        <v xml:space="preserve"> </v>
      </c>
      <c r="GT111" s="25" t="str">
        <f>IF('Midterm 2'!J$2=$A111,'Midterm 2'!J$47," ")</f>
        <v xml:space="preserve"> </v>
      </c>
      <c r="GU111" s="25" t="str">
        <f>IF('Midterm 2'!K$1=$A111,'Midterm 2'!K$47," ")</f>
        <v xml:space="preserve"> </v>
      </c>
      <c r="GV111" s="25" t="str">
        <f>IF('Midterm 2'!K$2=$A111,'Midterm 2'!K$47," ")</f>
        <v xml:space="preserve"> </v>
      </c>
      <c r="GW111" s="25" t="str">
        <f>IF('Midterm 2'!L$1=$A111,'Midterm 2'!L$47," ")</f>
        <v xml:space="preserve"> </v>
      </c>
      <c r="GX111" s="25" t="str">
        <f>IF('Midterm 2'!L$2=$A111,'Midterm 2'!L$47," ")</f>
        <v xml:space="preserve"> </v>
      </c>
      <c r="GY111" s="25" t="str">
        <f>IF('Midterm 2'!M$1=$A111,'Midterm 2'!M$47," ")</f>
        <v xml:space="preserve"> </v>
      </c>
      <c r="GZ111" s="25" t="str">
        <f>IF('Midterm 2'!M$2=$A111,'Midterm 2'!M$47," ")</f>
        <v xml:space="preserve"> </v>
      </c>
      <c r="HA111" s="25" t="str">
        <f>IF('Midterm 2'!N$1=$A111,'Midterm 2'!N$47," ")</f>
        <v xml:space="preserve"> </v>
      </c>
      <c r="HB111" s="25" t="str">
        <f>IF('Midterm 2'!N$2=$A111,'Midterm 2'!N$47," ")</f>
        <v xml:space="preserve"> </v>
      </c>
      <c r="HC111" s="25" t="str">
        <f>IF('Midterm 2'!O$1=$A111,'Midterm 2'!O$47," ")</f>
        <v xml:space="preserve"> </v>
      </c>
      <c r="HD111" s="25" t="str">
        <f>IF('Midterm 2'!O$2=$A111,'Midterm 2'!O$47," ")</f>
        <v xml:space="preserve"> </v>
      </c>
      <c r="HE111" s="25" t="str">
        <f>IF('Midterm 2'!P$1=$A111,'Midterm 2'!P$47," ")</f>
        <v xml:space="preserve"> </v>
      </c>
      <c r="HF111" s="25" t="str">
        <f>IF('Midterm 2'!P$2=$A111,'Midterm 2'!P$47," ")</f>
        <v xml:space="preserve"> </v>
      </c>
      <c r="HG111" s="25" t="str">
        <f>IF('Midterm 2'!Q$1=$A111,'Midterm 2'!Q$47," ")</f>
        <v xml:space="preserve"> </v>
      </c>
      <c r="HH111" s="25" t="str">
        <f>IF('Midterm 2'!Q$2=$A111,'Midterm 2'!Q$47," ")</f>
        <v xml:space="preserve"> </v>
      </c>
      <c r="HI111" s="25" t="str">
        <f>IF('Midterm 2'!R$1=$A111,'Midterm 2'!R$47," ")</f>
        <v xml:space="preserve"> </v>
      </c>
      <c r="HJ111" s="25" t="str">
        <f>IF('Midterm 2'!R$2=$A111,'Midterm 2'!R$47," ")</f>
        <v xml:space="preserve"> </v>
      </c>
      <c r="HK111" s="25" t="str">
        <f>IF('Midterm 2'!S$1=$A111,'Midterm 2'!S$47," ")</f>
        <v xml:space="preserve"> </v>
      </c>
      <c r="HL111" s="25" t="str">
        <f>IF('Midterm 2'!S$2=$A111,'Midterm 2'!S$47," ")</f>
        <v xml:space="preserve"> </v>
      </c>
      <c r="HM111" s="25" t="str">
        <f>IF('Midterm 2'!T$1=$A111,'Midterm 2'!T$47," ")</f>
        <v xml:space="preserve"> </v>
      </c>
      <c r="HN111" s="25" t="str">
        <f>IF('Midterm 2'!T$2=$A111,'Midterm 2'!T$47," ")</f>
        <v xml:space="preserve"> </v>
      </c>
      <c r="HO111" s="25" t="str">
        <f>IF('Midterm 2'!U$1=$A111,'Midterm 2'!U$47," ")</f>
        <v xml:space="preserve"> </v>
      </c>
      <c r="HP111" s="25" t="str">
        <f>IF('Midterm 2'!U$2=$A111,'Midterm 2'!U$47," ")</f>
        <v xml:space="preserve"> </v>
      </c>
      <c r="HQ111" s="25" t="str">
        <f>IF('Midterm 2'!V$1=$A111,'Midterm 2'!V$47," ")</f>
        <v xml:space="preserve"> </v>
      </c>
      <c r="HR111" s="25" t="str">
        <f>IF('Midterm 2'!V$2=$A111,'Midterm 2'!V$47," ")</f>
        <v xml:space="preserve"> </v>
      </c>
      <c r="HS111" s="25" t="str">
        <f>IF('Midterm 2'!W$1=$A111,'Midterm 2'!W$47," ")</f>
        <v xml:space="preserve"> </v>
      </c>
      <c r="HT111" s="25" t="str">
        <f>IF('Midterm 2'!W$2=$A111,'Midterm 2'!W$47," ")</f>
        <v xml:space="preserve"> </v>
      </c>
      <c r="HU111" s="25" t="str">
        <f>IF('Midterm 2'!X$1=$A111,'Midterm 2'!X$47," ")</f>
        <v xml:space="preserve"> </v>
      </c>
      <c r="HV111" s="25" t="str">
        <f>IF('Midterm 2'!X$2=$A111,'Midterm 2'!X$47," ")</f>
        <v xml:space="preserve"> </v>
      </c>
      <c r="HW111" s="25" t="str">
        <f>IF('Midterm 2'!Y$1=$A111,'Midterm 2'!Y$47," ")</f>
        <v xml:space="preserve"> </v>
      </c>
      <c r="HX111" s="25" t="str">
        <f>IF('Midterm 2'!Y$2=$A111,'Midterm 2'!Y$47," ")</f>
        <v xml:space="preserve"> </v>
      </c>
      <c r="HY111" s="25" t="str">
        <f>IF('Midterm 2'!Z$1=$A111,'Midterm 2'!Z$47," ")</f>
        <v xml:space="preserve"> </v>
      </c>
      <c r="HZ111" s="25" t="str">
        <f>IF('Midterm 2'!Z$2=$A111,'Midterm 2'!Z$47," ")</f>
        <v xml:space="preserve"> </v>
      </c>
      <c r="IA111" s="25" t="str">
        <f>IF('Midterm 2'!AA$1=$A111,'Midterm 2'!AA$47," ")</f>
        <v xml:space="preserve"> </v>
      </c>
      <c r="IB111" s="25" t="str">
        <f>IF('Midterm 2'!AA$2=$A111,'Midterm 2'!AA$47," ")</f>
        <v xml:space="preserve"> </v>
      </c>
      <c r="IC111" s="25" t="str">
        <f>IF('Midterm 2'!AB$1=$A111,'Midterm 2'!AB$47," ")</f>
        <v xml:space="preserve"> </v>
      </c>
      <c r="ID111" s="25" t="str">
        <f>IF('Midterm 2'!AB$2=$A111,'Midterm 2'!AB$47," ")</f>
        <v xml:space="preserve"> </v>
      </c>
      <c r="IE111" s="25" t="str">
        <f>IF('Midterm 2'!AC$1=$A111,'Midterm 2'!AC$47," ")</f>
        <v xml:space="preserve"> </v>
      </c>
      <c r="IF111" s="25" t="str">
        <f>IF('Midterm 2'!AC$2=$A111,'Midterm 2'!AC$47," ")</f>
        <v xml:space="preserve"> </v>
      </c>
      <c r="IG111" s="25" t="str">
        <f>IF('Midterm 2'!AD$1=$A111,'Midterm 2'!AD$47," ")</f>
        <v xml:space="preserve"> </v>
      </c>
      <c r="IH111" s="25" t="str">
        <f>IF('Midterm 2'!AD$2=$A111,'Midterm 2'!AD$47," ")</f>
        <v xml:space="preserve"> </v>
      </c>
      <c r="II111" s="25" t="str">
        <f>IF('Midterm 2'!AE$1=$A111,'Midterm 2'!AE$47," ")</f>
        <v xml:space="preserve"> </v>
      </c>
      <c r="IJ111" s="25" t="str">
        <f>IF('Midterm 2'!AE$2=$A111,'Midterm 2'!AE$47," ")</f>
        <v xml:space="preserve"> </v>
      </c>
      <c r="IK111" s="25" t="str">
        <f>IF('Midterm 2'!AF$1=$A111,'Midterm 2'!AF$47," ")</f>
        <v xml:space="preserve"> </v>
      </c>
      <c r="IL111" s="25" t="str">
        <f>IF('Midterm 2'!AF$2=$A111,'Midterm 2'!AF$47," ")</f>
        <v xml:space="preserve"> </v>
      </c>
      <c r="IM111" s="25" t="str">
        <f>IF('Midterm 2'!AG$1=$A111,'Midterm 2'!AG$47," ")</f>
        <v xml:space="preserve"> </v>
      </c>
      <c r="IN111" s="25" t="str">
        <f>IF('Midterm 2'!AG$2=$A111,'Midterm 2'!AG$47," ")</f>
        <v xml:space="preserve"> </v>
      </c>
      <c r="IO111" s="25" t="str">
        <f>IF('Midterm 2'!AH$1=$A111,'Midterm 2'!AH$47," ")</f>
        <v xml:space="preserve"> </v>
      </c>
      <c r="IP111" s="25" t="str">
        <f>IF('Midterm 2'!AH$2=$A111,'Midterm 2'!AF$47," ")</f>
        <v xml:space="preserve"> </v>
      </c>
      <c r="IR111" s="54" t="str">
        <f>IF('Final Exam'!C$1=$A111,'Final Exam'!C$46," ")</f>
        <v xml:space="preserve"> </v>
      </c>
      <c r="IS111" s="54" t="str">
        <f>IF('Final Exam'!C$2=$A111,'Final Exam'!C$46," ")</f>
        <v xml:space="preserve"> </v>
      </c>
      <c r="IT111" s="54" t="str">
        <f>IF('Final Exam'!D$1=$A111,'Final Exam'!D$46," ")</f>
        <v xml:space="preserve"> </v>
      </c>
      <c r="IU111" s="54" t="str">
        <f>IF('Final Exam'!D$2=$A111,'Final Exam'!D$46," ")</f>
        <v xml:space="preserve"> </v>
      </c>
      <c r="IV111" s="54" t="str">
        <f>IF('Final Exam'!E$1=$A111,'Final Exam'!E$46," ")</f>
        <v xml:space="preserve"> </v>
      </c>
      <c r="IW111" s="54" t="str">
        <f>IF('Final Exam'!E$2=$A111,'Final Exam'!E$46," ")</f>
        <v xml:space="preserve"> </v>
      </c>
      <c r="IX111" s="54" t="str">
        <f>IF('Final Exam'!F$1=$A111,'Final Exam'!F$46," ")</f>
        <v xml:space="preserve"> </v>
      </c>
      <c r="IY111" s="54" t="str">
        <f>IF('Final Exam'!F$2=$A111,'Final Exam'!F$46," ")</f>
        <v xml:space="preserve"> </v>
      </c>
      <c r="IZ111" s="54" t="str">
        <f>IF('Final Exam'!G$1=$A111,'Final Exam'!G$46," ")</f>
        <v xml:space="preserve"> </v>
      </c>
      <c r="JA111" s="54" t="str">
        <f>IF('Final Exam'!G$2=$A111,'Final Exam'!G$46," ")</f>
        <v xml:space="preserve"> </v>
      </c>
      <c r="JB111" s="54" t="str">
        <f>IF('Final Exam'!H$1=$A111,'Final Exam'!G$46," ")</f>
        <v xml:space="preserve"> </v>
      </c>
      <c r="JC111" s="54" t="str">
        <f>IF('Final Exam'!H$2=$A111,'Final Exam'!H$46," ")</f>
        <v xml:space="preserve"> </v>
      </c>
      <c r="JD111" s="54" t="str">
        <f>IF('Final Exam'!I$1=$A111,'Final Exam'!I$46," ")</f>
        <v xml:space="preserve"> </v>
      </c>
      <c r="JE111" s="54" t="str">
        <f>IF('Final Exam'!I$2=$A111,'Final Exam'!I$46," ")</f>
        <v xml:space="preserve"> </v>
      </c>
      <c r="JF111" s="54" t="str">
        <f>IF('Final Exam'!J$1=$A111,'Final Exam'!J$46," ")</f>
        <v xml:space="preserve"> </v>
      </c>
      <c r="JG111" s="54" t="str">
        <f>IF('Final Exam'!J$2=$A111,'Final Exam'!J$46," ")</f>
        <v xml:space="preserve"> </v>
      </c>
      <c r="JH111" s="54" t="str">
        <f>IF('Final Exam'!K$1=$A111,'Final Exam'!K$46," ")</f>
        <v xml:space="preserve"> </v>
      </c>
      <c r="JI111" s="54" t="str">
        <f>IF('Final Exam'!K$2=$A111,'Final Exam'!K$46," ")</f>
        <v xml:space="preserve"> </v>
      </c>
      <c r="JJ111" s="54" t="str">
        <f>IF('Final Exam'!L$1=$A111,'Final Exam'!L$46," ")</f>
        <v xml:space="preserve"> </v>
      </c>
      <c r="JK111" s="54" t="str">
        <f>IF('Final Exam'!L$2=$A111,'Final Exam'!L$46," ")</f>
        <v xml:space="preserve"> </v>
      </c>
      <c r="JL111" s="54" t="str">
        <f>IF('Final Exam'!M$1=$A111,'Final Exam'!M$46," ")</f>
        <v xml:space="preserve"> </v>
      </c>
      <c r="JM111" s="54" t="str">
        <f>IF('Final Exam'!M$2=$A111,'Final Exam'!M$46," ")</f>
        <v xml:space="preserve"> </v>
      </c>
      <c r="JN111" s="54" t="str">
        <f>IF('Final Exam'!N$1=$A111,'Final Exam'!N$46," ")</f>
        <v xml:space="preserve"> </v>
      </c>
      <c r="JO111" s="54" t="str">
        <f>IF('Final Exam'!N$2=$A111,'Final Exam'!N$46," ")</f>
        <v xml:space="preserve"> </v>
      </c>
      <c r="JP111" s="54" t="str">
        <f>IF('Final Exam'!O$1=$A111,'Final Exam'!O$46," ")</f>
        <v xml:space="preserve"> </v>
      </c>
      <c r="JQ111" s="54" t="str">
        <f>IF('Final Exam'!O$2=$A111,'Final Exam'!O$46," ")</f>
        <v xml:space="preserve"> </v>
      </c>
      <c r="JR111" s="54" t="str">
        <f>IF('Final Exam'!P$1=$A111,'Final Exam'!P$46," ")</f>
        <v xml:space="preserve"> </v>
      </c>
      <c r="JS111" s="54" t="str">
        <f>IF('Final Exam'!P$2=$A111,'Final Exam'!P$46," ")</f>
        <v xml:space="preserve"> </v>
      </c>
      <c r="JT111" s="54" t="str">
        <f>IF('Final Exam'!Q$1=$A111,'Final Exam'!Q$46," ")</f>
        <v xml:space="preserve"> </v>
      </c>
      <c r="JU111" s="54" t="str">
        <f>IF('Final Exam'!Q$2=$A111,'Final Exam'!Q$46," ")</f>
        <v xml:space="preserve"> </v>
      </c>
      <c r="JV111" s="54" t="str">
        <f>IF('Final Exam'!R$1=$A111,'Final Exam'!R$46," ")</f>
        <v xml:space="preserve"> </v>
      </c>
      <c r="JW111" s="54" t="str">
        <f>IF('Final Exam'!R$2=$A111,'Final Exam'!R$46," ")</f>
        <v xml:space="preserve"> </v>
      </c>
      <c r="JX111" s="54" t="str">
        <f>IF('Final Exam'!S$1=$A111,'Final Exam'!S$46," ")</f>
        <v xml:space="preserve"> </v>
      </c>
      <c r="JY111" s="54" t="str">
        <f>IF('Final Exam'!S$2=$A111,'Final Exam'!S$46," ")</f>
        <v xml:space="preserve"> </v>
      </c>
      <c r="JZ111" s="54" t="str">
        <f>IF('Final Exam'!T$1=$A111,'Final Exam'!T$46," ")</f>
        <v xml:space="preserve"> </v>
      </c>
      <c r="KA111" s="54" t="str">
        <f>IF('Final Exam'!T$2=$A111,'Final Exam'!T$46," ")</f>
        <v xml:space="preserve"> </v>
      </c>
      <c r="KB111" s="54" t="str">
        <f>IF('Final Exam'!U$1=$A111,'Final Exam'!U$46," ")</f>
        <v xml:space="preserve"> </v>
      </c>
      <c r="KC111" s="54" t="str">
        <f>IF('Final Exam'!U$2=$A111,'Final Exam'!U$46," ")</f>
        <v xml:space="preserve"> </v>
      </c>
      <c r="KD111" s="54" t="str">
        <f>IF('Final Exam'!V$1=$A111,'Final Exam'!V$46," ")</f>
        <v xml:space="preserve"> </v>
      </c>
      <c r="KE111" s="54" t="str">
        <f>IF('Final Exam'!V$2=$A111,'Final Exam'!V$46," ")</f>
        <v xml:space="preserve"> </v>
      </c>
      <c r="KF111" s="54" t="str">
        <f>IF('Final Exam'!W$1=$A111,'Final Exam'!W$46," ")</f>
        <v xml:space="preserve"> </v>
      </c>
      <c r="KG111" s="54" t="str">
        <f>IF('Final Exam'!W$2=$A111,'Final Exam'!W$46," ")</f>
        <v xml:space="preserve"> </v>
      </c>
      <c r="KH111" s="54" t="str">
        <f>IF('Final Exam'!X$1=$A111,'Final Exam'!X$46," ")</f>
        <v xml:space="preserve"> </v>
      </c>
      <c r="KI111" s="54" t="str">
        <f>IF('Final Exam'!X$2=$A111,'Final Exam'!X$46," ")</f>
        <v xml:space="preserve"> </v>
      </c>
      <c r="KJ111" s="54" t="str">
        <f>IF('Final Exam'!Y$1=$A111,'Final Exam'!Y$46," ")</f>
        <v xml:space="preserve"> </v>
      </c>
      <c r="KK111" s="54" t="str">
        <f>IF('Final Exam'!Y$2=$A111,'Final Exam'!Y$46," ")</f>
        <v xml:space="preserve"> </v>
      </c>
      <c r="KL111" s="54" t="str">
        <f>IF('Final Exam'!Z$1=$A111,'Final Exam'!Z$46," ")</f>
        <v xml:space="preserve"> </v>
      </c>
      <c r="KM111" s="54" t="str">
        <f>IF('Final Exam'!Z$2=$A111,'Final Exam'!Z$46," ")</f>
        <v xml:space="preserve"> </v>
      </c>
      <c r="KN111" s="54" t="str">
        <f>IF('Final Exam'!AA$1=$A111,'Final Exam'!AA$46," ")</f>
        <v xml:space="preserve"> </v>
      </c>
      <c r="KO111" s="54" t="str">
        <f>IF('Final Exam'!AA$2=$A111,'Final Exam'!AA$46," ")</f>
        <v xml:space="preserve"> </v>
      </c>
      <c r="KP111" s="54" t="str">
        <f>IF('Final Exam'!AB$1=$A111,'Final Exam'!AB$46," ")</f>
        <v xml:space="preserve"> </v>
      </c>
      <c r="KQ111" s="54" t="str">
        <f>IF('Final Exam'!AB$2=$A111,'Final Exam'!AB$46," ")</f>
        <v xml:space="preserve"> </v>
      </c>
      <c r="KR111" s="54" t="str">
        <f>IF('Final Exam'!AC$1=$A111,'Final Exam'!AC$46," ")</f>
        <v xml:space="preserve"> </v>
      </c>
      <c r="KS111" s="54" t="str">
        <f>IF('Final Exam'!AC$2=$A111,'Final Exam'!AC$46," ")</f>
        <v xml:space="preserve"> </v>
      </c>
      <c r="KT111" s="54" t="str">
        <f>IF('Final Exam'!AD$1=$A111,'Final Exam'!AD$46," ")</f>
        <v xml:space="preserve"> </v>
      </c>
      <c r="KU111" s="54" t="str">
        <f>IF('Final Exam'!AD$2=$A111,'Final Exam'!AD$46," ")</f>
        <v xml:space="preserve"> </v>
      </c>
      <c r="KV111" s="54" t="str">
        <f>IF('Final Exam'!AE$1=$A111,'Final Exam'!AE$46," ")</f>
        <v xml:space="preserve"> </v>
      </c>
      <c r="KW111" s="54" t="str">
        <f>IF('Final Exam'!AE$2=$A111,'Final Exam'!AE$46," ")</f>
        <v xml:space="preserve"> </v>
      </c>
      <c r="KX111" s="54" t="str">
        <f>IF('Final Exam'!AF$1=$A111,'Final Exam'!AF$46," ")</f>
        <v xml:space="preserve"> </v>
      </c>
      <c r="KY111" s="54" t="str">
        <f>IF('Final Exam'!AF$2=$A111,'Final Exam'!AF$46," ")</f>
        <v xml:space="preserve"> </v>
      </c>
      <c r="KZ111" s="54" t="str">
        <f>IF('Final Exam'!AG$1=$A111,'Final Exam'!AG$46," ")</f>
        <v xml:space="preserve"> </v>
      </c>
      <c r="LA111" s="54" t="str">
        <f>IF('Final Exam'!AG$2=$A111,'Final Exam'!AG$46," ")</f>
        <v xml:space="preserve"> </v>
      </c>
      <c r="LC111" s="180" t="str">
        <f>IF('Incomplete Final'!C$1=$A111,'Incomplete Final'!C$46," ")</f>
        <v xml:space="preserve"> </v>
      </c>
      <c r="LD111" s="180" t="str">
        <f>IF('Incomplete Final'!C$2=$A111,'Incomplete Final'!C$46," ")</f>
        <v xml:space="preserve"> </v>
      </c>
      <c r="LE111" s="180" t="str">
        <f>IF('Incomplete Final'!D$1=$A111,'Incomplete Final'!D$46," ")</f>
        <v xml:space="preserve"> </v>
      </c>
      <c r="LF111" s="180" t="str">
        <f>IF('Incomplete Final'!D$2=$A111,'Incomplete Final'!D$46," ")</f>
        <v xml:space="preserve"> </v>
      </c>
      <c r="LG111" s="180" t="str">
        <f>IF('Incomplete Final'!E$1=$A111,'Incomplete Final'!E$46," ")</f>
        <v xml:space="preserve"> </v>
      </c>
      <c r="LH111" s="180" t="str">
        <f>IF('Incomplete Final'!E$2=$A111,'Incomplete Final'!E$46," ")</f>
        <v xml:space="preserve"> </v>
      </c>
      <c r="LI111" s="180" t="str">
        <f>IF('Incomplete Final'!F$1=$A111,'Incomplete Final'!F$46," ")</f>
        <v xml:space="preserve"> </v>
      </c>
      <c r="LJ111" s="180" t="str">
        <f>IF('Incomplete Final'!F$2=$A111,'Incomplete Final'!F$46," ")</f>
        <v xml:space="preserve"> </v>
      </c>
      <c r="LK111" s="180" t="str">
        <f>IF('Incomplete Final'!G$1=$A111,'Incomplete Final'!G$46," ")</f>
        <v xml:space="preserve"> </v>
      </c>
      <c r="LL111" s="180" t="str">
        <f>IF('Incomplete Final'!G$2=$A111,'Incomplete Final'!G$46," ")</f>
        <v xml:space="preserve"> </v>
      </c>
      <c r="LM111" s="180" t="str">
        <f>IF('Incomplete Final'!H$1=$A111,'Incomplete Final'!H$46," ")</f>
        <v xml:space="preserve"> </v>
      </c>
      <c r="LN111" s="180" t="str">
        <f>IF('Incomplete Final'!H$2=$A111,'Incomplete Final'!H$46," ")</f>
        <v xml:space="preserve"> </v>
      </c>
      <c r="LO111" s="180" t="str">
        <f>IF('Incomplete Final'!I$1=$A111,'Incomplete Final'!I$46," ")</f>
        <v xml:space="preserve"> </v>
      </c>
      <c r="LP111" s="180" t="str">
        <f>IF('Incomplete Final'!I$2=$A111,'Incomplete Final'!I$46," ")</f>
        <v xml:space="preserve"> </v>
      </c>
      <c r="LQ111" s="180" t="str">
        <f>IF('Incomplete Final'!J$1=$A111,'Incomplete Final'!J$46," ")</f>
        <v xml:space="preserve"> </v>
      </c>
      <c r="LR111" s="180" t="str">
        <f>IF('Incomplete Final'!J$2=$A111,'Incomplete Final'!J$46," ")</f>
        <v xml:space="preserve"> </v>
      </c>
      <c r="LS111" s="180" t="str">
        <f>IF('Incomplete Final'!K$1=$A111,'Incomplete Final'!K$46," ")</f>
        <v xml:space="preserve"> </v>
      </c>
      <c r="LT111" s="180" t="str">
        <f>IF('Incomplete Final'!K$2=$A111,'Incomplete Final'!K$46," ")</f>
        <v xml:space="preserve"> </v>
      </c>
      <c r="LU111" s="180" t="str">
        <f>IF('Incomplete Final'!L$1=$A111,'Incomplete Final'!L$46," ")</f>
        <v xml:space="preserve"> </v>
      </c>
      <c r="LV111" s="180" t="str">
        <f>IF('Incomplete Final'!L$2=$A111,'Incomplete Final'!L$46," ")</f>
        <v xml:space="preserve"> </v>
      </c>
      <c r="LW111" s="180" t="str">
        <f>IF('Incomplete Final'!M$1=$A111,'Incomplete Final'!M$46," ")</f>
        <v xml:space="preserve"> </v>
      </c>
      <c r="LX111" s="180" t="str">
        <f>IF('Incomplete Final'!M$2=$A111,'Incomplete Final'!M$46," ")</f>
        <v xml:space="preserve"> </v>
      </c>
      <c r="LY111" s="180" t="str">
        <f>IF('Incomplete Final'!N$1=$A111,'Incomplete Final'!N$46," ")</f>
        <v xml:space="preserve"> </v>
      </c>
      <c r="LZ111" s="180" t="str">
        <f>IF('Incomplete Final'!N$2=$A111,'Incomplete Final'!N$46," ")</f>
        <v xml:space="preserve"> </v>
      </c>
      <c r="MA111" s="180" t="str">
        <f>IF('Incomplete Final'!O$1=$A111,'Incomplete Final'!O$46," ")</f>
        <v xml:space="preserve"> </v>
      </c>
      <c r="MB111" s="180" t="str">
        <f>IF('Incomplete Final'!O$2=$A111,'Incomplete Final'!AB$46," ")</f>
        <v xml:space="preserve"> </v>
      </c>
      <c r="MC111" s="180" t="str">
        <f>IF('Incomplete Final'!P$1=$A111,'Incomplete Final'!P$46," ")</f>
        <v xml:space="preserve"> </v>
      </c>
      <c r="MD111" s="180" t="str">
        <f>IF('Incomplete Final'!P$2=$A111,'Incomplete Final'!P$46," ")</f>
        <v xml:space="preserve"> </v>
      </c>
      <c r="ME111" s="180" t="str">
        <f>IF('Incomplete Final'!Q$1=$A111,'Incomplete Final'!Q$46," ")</f>
        <v xml:space="preserve"> </v>
      </c>
      <c r="MF111" s="180" t="str">
        <f>IF('Incomplete Final'!Q$2=$A111,'Incomplete Final'!Q$46," ")</f>
        <v xml:space="preserve"> </v>
      </c>
      <c r="MG111" s="180" t="str">
        <f>IF('Incomplete Final'!R$1=$A111,'Incomplete Final'!R$46," ")</f>
        <v xml:space="preserve"> </v>
      </c>
      <c r="MH111" s="180" t="str">
        <f>IF('Incomplete Final'!R$2=$A111,'Incomplete Final'!R$46," ")</f>
        <v xml:space="preserve"> </v>
      </c>
      <c r="MI111" s="180" t="str">
        <f>IF('Incomplete Final'!S$1=$A111,'Incomplete Final'!S$46," ")</f>
        <v xml:space="preserve"> </v>
      </c>
      <c r="MJ111" s="180" t="str">
        <f>IF('Incomplete Final'!S$2=$A111,'Incomplete Final'!S$46," ")</f>
        <v xml:space="preserve"> </v>
      </c>
      <c r="MK111" s="180" t="str">
        <f>IF('Incomplete Final'!T$1=$A111,'Incomplete Final'!T$46," ")</f>
        <v xml:space="preserve"> </v>
      </c>
      <c r="ML111" s="180" t="str">
        <f>IF('Incomplete Final'!T$2=$A111,'Incomplete Final'!T$46," ")</f>
        <v xml:space="preserve"> </v>
      </c>
      <c r="MM111" s="180" t="str">
        <f>IF('Incomplete Final'!U$1=$A111,'Incomplete Final'!U$46," ")</f>
        <v xml:space="preserve"> </v>
      </c>
      <c r="MN111" s="180" t="str">
        <f>IF('Incomplete Final'!U$2=$A111,'Incomplete Final'!U$46," ")</f>
        <v xml:space="preserve"> </v>
      </c>
      <c r="MO111" s="180" t="str">
        <f>IF('Incomplete Final'!V$1=$A111,'Incomplete Final'!V$46," ")</f>
        <v xml:space="preserve"> </v>
      </c>
      <c r="MP111" s="180" t="str">
        <f>IF('Incomplete Final'!V$2=$A111,'Incomplete Final'!V$46," ")</f>
        <v xml:space="preserve"> </v>
      </c>
      <c r="MQ111" s="180" t="str">
        <f>IF('Incomplete Final'!W$1=$A111,'Incomplete Final'!W$46," ")</f>
        <v xml:space="preserve"> </v>
      </c>
      <c r="MR111" s="180" t="str">
        <f>IF('Incomplete Final'!W$2=$A111,'Incomplete Final'!W$46," ")</f>
        <v xml:space="preserve"> </v>
      </c>
      <c r="MS111" s="180" t="str">
        <f>IF('Incomplete Final'!X$1=$A111,'Incomplete Final'!X$46," ")</f>
        <v xml:space="preserve"> </v>
      </c>
      <c r="MT111" s="180" t="str">
        <f>IF('Incomplete Final'!X$2=$A111,'Incomplete Final'!X$46," ")</f>
        <v xml:space="preserve"> </v>
      </c>
      <c r="MU111" s="180" t="str">
        <f>IF('Incomplete Final'!Y$1=$A111,'Incomplete Final'!Y$46," ")</f>
        <v xml:space="preserve"> </v>
      </c>
      <c r="MV111" s="180" t="str">
        <f>IF('Incomplete Final'!Y$2=$A111,'Incomplete Final'!Y$46," ")</f>
        <v xml:space="preserve"> </v>
      </c>
      <c r="MW111" s="180" t="str">
        <f>IF('Incomplete Final'!Z$1=$A111,'Incomplete Final'!Z$46," ")</f>
        <v xml:space="preserve"> </v>
      </c>
      <c r="MX111" s="180" t="str">
        <f>IF('Incomplete Final'!Z$2=$A111,'Incomplete Final'!Z$46," ")</f>
        <v xml:space="preserve"> </v>
      </c>
      <c r="MY111" s="180" t="str">
        <f>IF('Incomplete Final'!AA$1=$A111,'Incomplete Final'!AA$46," ")</f>
        <v xml:space="preserve"> </v>
      </c>
      <c r="MZ111" s="180" t="str">
        <f>IF('Incomplete Final'!AA$2=$A111,'Incomplete Final'!AA$46," ")</f>
        <v xml:space="preserve"> </v>
      </c>
      <c r="NA111" s="180" t="str">
        <f>IF('Incomplete Final'!AB$1=$A111,'Incomplete Final'!AB$46," ")</f>
        <v xml:space="preserve"> </v>
      </c>
      <c r="NB111" s="180" t="str">
        <f>IF('Incomplete Final'!AB$2=$A111,'Incomplete Final'!AB$46," ")</f>
        <v xml:space="preserve"> </v>
      </c>
      <c r="NC111" s="180" t="str">
        <f>IF('Incomplete Final'!AC$1=$A111,'Incomplete Final'!AC$46," ")</f>
        <v xml:space="preserve"> </v>
      </c>
      <c r="ND111" s="180" t="str">
        <f>IF('Incomplete Final'!AC$2=$A111,'Incomplete Final'!AC$46," ")</f>
        <v xml:space="preserve"> </v>
      </c>
      <c r="NE111" s="180" t="str">
        <f>IF('Incomplete Final'!AD$1=$A111,'Incomplete Final'!AD$46," ")</f>
        <v xml:space="preserve"> </v>
      </c>
      <c r="NF111" s="180" t="str">
        <f>IF('Incomplete Final'!AD$2=$A111,'Incomplete Final'!AD$46," ")</f>
        <v xml:space="preserve"> </v>
      </c>
      <c r="NG111" s="180" t="str">
        <f>IF('Incomplete Final'!AE$1=$A111,'Incomplete Final'!AE$46," ")</f>
        <v xml:space="preserve"> </v>
      </c>
      <c r="NH111" s="180" t="str">
        <f>IF('Incomplete Final'!AE$2=$A111,'Incomplete Final'!AE$46," ")</f>
        <v xml:space="preserve"> </v>
      </c>
      <c r="NI111" s="180" t="str">
        <f>IF('Incomplete Final'!AF$1=$A111,'Incomplete Final'!AF$46," ")</f>
        <v xml:space="preserve"> </v>
      </c>
      <c r="NJ111" s="180" t="str">
        <f>IF('Incomplete Final'!AF$2=$A111,'Incomplete Final'!AF$46," ")</f>
        <v xml:space="preserve"> </v>
      </c>
      <c r="NK111" s="180" t="str">
        <f>IF('Incomplete Final'!AG$1=$A111,'Incomplete Final'!AG$46," ")</f>
        <v xml:space="preserve"> </v>
      </c>
      <c r="NL111" s="180" t="str">
        <f>IF('Incomplete Final'!AG$2=$A111,'Incomplete Final'!AG$46," ")</f>
        <v xml:space="preserve"> </v>
      </c>
      <c r="NN111" s="53" t="str">
        <f>IF('Laboratory Final'!C$1=$A111,'Laboratory Final'!C$46," ")</f>
        <v xml:space="preserve"> </v>
      </c>
      <c r="NO111" s="53" t="str">
        <f>IF('Laboratory Final'!C$2=$A111,'Laboratory Final'!C$46," ")</f>
        <v xml:space="preserve"> </v>
      </c>
      <c r="NP111" s="53" t="str">
        <f>IF('Laboratory Final'!D$1=$A111,'Laboratory Final'!D$46," ")</f>
        <v xml:space="preserve"> </v>
      </c>
      <c r="NQ111" s="53" t="str">
        <f>IF('Laboratory Final'!D$2=$A111,'Laboratory Final'!D$46," ")</f>
        <v xml:space="preserve"> </v>
      </c>
      <c r="NR111" s="53" t="str">
        <f>IF('Laboratory Final'!E$1=$A111,'Laboratory Final'!E$46," ")</f>
        <v xml:space="preserve"> </v>
      </c>
      <c r="NS111" s="53" t="str">
        <f>IF('Laboratory Final'!E$2=$A111,'Laboratory Final'!E$46," ")</f>
        <v xml:space="preserve"> </v>
      </c>
      <c r="NT111" s="53" t="str">
        <f>IF('Laboratory Final'!F$1=$A111,'Laboratory Final'!F$46," ")</f>
        <v xml:space="preserve"> </v>
      </c>
      <c r="NU111" s="53" t="str">
        <f>IF('Laboratory Final'!F$2=$A111,'Laboratory Final'!F$46," ")</f>
        <v xml:space="preserve"> </v>
      </c>
      <c r="NV111" s="53" t="str">
        <f>IF('Laboratory Final'!G$1=$A111,'Laboratory Final'!G$46," ")</f>
        <v xml:space="preserve"> </v>
      </c>
      <c r="NW111" s="53" t="str">
        <f>IF('Laboratory Final'!G$2=$A111,'Laboratory Final'!G$46," ")</f>
        <v xml:space="preserve"> </v>
      </c>
      <c r="NX111" s="53" t="str">
        <f>IF('Laboratory Final'!H$1=$A111,'Laboratory Final'!H$46," ")</f>
        <v xml:space="preserve"> </v>
      </c>
      <c r="NY111" s="53" t="str">
        <f>IF('Laboratory Final'!H$2=$A111,'Laboratory Final'!H$46," ")</f>
        <v xml:space="preserve"> </v>
      </c>
      <c r="NZ111" s="53" t="str">
        <f>IF('Laboratory Final'!I$1=$A111,'Laboratory Final'!I$46," ")</f>
        <v xml:space="preserve"> </v>
      </c>
      <c r="OA111" s="53" t="str">
        <f>IF('Laboratory Final'!I$2=$A111,'Laboratory Final'!I$46," ")</f>
        <v xml:space="preserve"> </v>
      </c>
      <c r="OB111" s="53" t="str">
        <f>IF('Laboratory Final'!J$1=$A111,'Laboratory Final'!J$46," ")</f>
        <v xml:space="preserve"> </v>
      </c>
      <c r="OC111" s="53" t="str">
        <f>IF('Laboratory Final'!J$2=$A111,'Laboratory Final'!J$46," ")</f>
        <v xml:space="preserve"> </v>
      </c>
      <c r="OD111" s="53" t="str">
        <f>IF('Laboratory Final'!K$1=$A111,'Laboratory Final'!K$46," ")</f>
        <v xml:space="preserve"> </v>
      </c>
      <c r="OE111" s="53" t="str">
        <f>IF('Laboratory Final'!K$2=$A111,'Laboratory Final'!K$46," ")</f>
        <v xml:space="preserve"> </v>
      </c>
      <c r="OF111" s="53" t="str">
        <f>IF('Laboratory Final'!L$1=$A111,'Laboratory Final'!L$46," ")</f>
        <v xml:space="preserve"> </v>
      </c>
      <c r="OG111" s="53" t="str">
        <f>IF('Laboratory Final'!L$2=$A111,'Laboratory Final'!L$46," ")</f>
        <v xml:space="preserve"> </v>
      </c>
      <c r="OI111" s="192" t="e">
        <f t="shared" si="14"/>
        <v>#DIV/0!</v>
      </c>
    </row>
    <row r="112" spans="1:399" ht="18.75" x14ac:dyDescent="0.3">
      <c r="A112" s="48">
        <v>7</v>
      </c>
      <c r="B112" s="55">
        <f>IF(SUM(D112:LA112)=0,0,AVERAGE('Course Analysis'!D112:LA112))</f>
        <v>0</v>
      </c>
      <c r="D112" s="53" t="str">
        <f>IF(Project!C$1=$A112,Project!C$46," ")</f>
        <v xml:space="preserve"> </v>
      </c>
      <c r="E112" s="53" t="str">
        <f>IF(Project!C$2=$A112,Project!C$46," ")</f>
        <v xml:space="preserve"> </v>
      </c>
      <c r="F112" s="53" t="str">
        <f>IF(Project!D$1=$A112,Project!D$46," ")</f>
        <v xml:space="preserve"> </v>
      </c>
      <c r="G112" s="53" t="str">
        <f>IF(Project!D$2=$A112,Project!D$46," ")</f>
        <v xml:space="preserve"> </v>
      </c>
      <c r="H112" s="53" t="str">
        <f>IF(Project!E$1=$A112,Project!E$46," ")</f>
        <v xml:space="preserve"> </v>
      </c>
      <c r="I112" s="53" t="str">
        <f>IF(Project!E$2=$A112,Project!E$46," ")</f>
        <v xml:space="preserve"> </v>
      </c>
      <c r="J112" s="53" t="str">
        <f>IF(Project!F$1=$A112,Project!F$46," ")</f>
        <v xml:space="preserve"> </v>
      </c>
      <c r="K112" s="53" t="str">
        <f>IF(Project!F$2=$A112,Project!F$46," ")</f>
        <v xml:space="preserve"> </v>
      </c>
      <c r="L112" s="53" t="str">
        <f>IF(Project!G$1=$A112,Project!G$46," ")</f>
        <v xml:space="preserve"> </v>
      </c>
      <c r="M112" s="53" t="str">
        <f>IF(Project!G$2=$A112,Project!G$46," ")</f>
        <v xml:space="preserve"> </v>
      </c>
      <c r="N112" s="53" t="str">
        <f>IF(Project!H$1=$A112,Project!H$46," ")</f>
        <v xml:space="preserve"> </v>
      </c>
      <c r="O112" s="53" t="str">
        <f>IF(Project!H$2=$A112,Project!H$46," ")</f>
        <v xml:space="preserve"> </v>
      </c>
      <c r="P112" s="53" t="str">
        <f>IF(Project!I$1=$A112,Project!I$46," ")</f>
        <v xml:space="preserve"> </v>
      </c>
      <c r="Q112" s="53" t="str">
        <f>IF(Project!I$2=$A112,Project!I$46," ")</f>
        <v xml:space="preserve"> </v>
      </c>
      <c r="R112" s="53" t="str">
        <f>IF(Project!J$1=$A112,Project!J$46," ")</f>
        <v xml:space="preserve"> </v>
      </c>
      <c r="S112" s="53" t="str">
        <f>IF(Project!J$2=$A112,Project!J$46," ")</f>
        <v xml:space="preserve"> </v>
      </c>
      <c r="T112" s="53" t="str">
        <f>IF(Project!K$1=$A112,Project!K$46," ")</f>
        <v xml:space="preserve"> </v>
      </c>
      <c r="U112" s="53" t="str">
        <f>IF(Project!K$2=$A112,Project!K$46," ")</f>
        <v xml:space="preserve"> </v>
      </c>
      <c r="V112" s="53" t="str">
        <f>IF(Project!L$1=$A112,Project!L$46," ")</f>
        <v xml:space="preserve"> </v>
      </c>
      <c r="W112" s="53" t="str">
        <f>IF(Project!L$2=$A112,Project!L$46," ")</f>
        <v xml:space="preserve"> </v>
      </c>
      <c r="Y112" s="53" t="str">
        <f>IF(Homework!C$1=$A112,Homework!C$46," ")</f>
        <v xml:space="preserve"> </v>
      </c>
      <c r="Z112" s="53" t="str">
        <f>IF(Homework!C$2=$A112,Homework!C$46," ")</f>
        <v xml:space="preserve"> </v>
      </c>
      <c r="AA112" s="53" t="str">
        <f>IF(Homework!D$1=$A112,Homework!D$46," ")</f>
        <v xml:space="preserve"> </v>
      </c>
      <c r="AB112" s="53" t="str">
        <f>IF(Homework!D$2=$A112,Homework!D$46," ")</f>
        <v xml:space="preserve"> </v>
      </c>
      <c r="AC112" s="53" t="str">
        <f>IF(Homework!E$1=$A112,Homework!E$46," ")</f>
        <v xml:space="preserve"> </v>
      </c>
      <c r="AD112" s="53" t="str">
        <f>IF(Homework!E$2=$A112,Homework!E$46," ")</f>
        <v xml:space="preserve"> </v>
      </c>
      <c r="AE112" s="53" t="str">
        <f>IF(Homework!F$1=$A112,Homework!F$46," ")</f>
        <v xml:space="preserve"> </v>
      </c>
      <c r="AF112" s="53" t="str">
        <f>IF(Homework!F$2=$A112,Homework!F$46," ")</f>
        <v xml:space="preserve"> </v>
      </c>
      <c r="AG112" s="53" t="str">
        <f>IF(Homework!G$1=$A112,Homework!G$46," ")</f>
        <v xml:space="preserve"> </v>
      </c>
      <c r="AH112" s="53" t="str">
        <f>IF(Homework!G$2=$A112,Homework!G$46," ")</f>
        <v xml:space="preserve"> </v>
      </c>
      <c r="AI112" s="53" t="str">
        <f>IF(Homework!H$1=$A112,Homework!H$46," ")</f>
        <v xml:space="preserve"> </v>
      </c>
      <c r="AJ112" s="53" t="str">
        <f>IF(Homework!H$2=$A112,Homework!H$46," ")</f>
        <v xml:space="preserve"> </v>
      </c>
      <c r="AK112" s="53" t="str">
        <f>IF(Homework!I$1=$A112,Homework!I$46," ")</f>
        <v xml:space="preserve"> </v>
      </c>
      <c r="AL112" s="53" t="str">
        <f>IF(Homework!I$2=$A112,Homework!I$46," ")</f>
        <v xml:space="preserve"> </v>
      </c>
      <c r="AM112" s="53" t="str">
        <f>IF(Homework!J$1=$A112,Homework!J$46," ")</f>
        <v xml:space="preserve"> </v>
      </c>
      <c r="AN112" s="53" t="str">
        <f>IF(Homework!J$2=$A112,Homework!J$46," ")</f>
        <v xml:space="preserve"> </v>
      </c>
      <c r="AO112" s="53" t="str">
        <f>IF(Homework!K$1=$A112,Homework!K$46," ")</f>
        <v xml:space="preserve"> </v>
      </c>
      <c r="AP112" s="53" t="str">
        <f>IF(Homework!K$2=$A112,Homework!K$46," ")</f>
        <v xml:space="preserve"> </v>
      </c>
      <c r="AQ112" s="53" t="str">
        <f>IF(Homework!L$1=$A112,Homework!L$46," ")</f>
        <v xml:space="preserve"> </v>
      </c>
      <c r="AR112" s="53" t="str">
        <f>IF(Homework!L$2=$A112,Homework!L$46," ")</f>
        <v xml:space="preserve"> </v>
      </c>
      <c r="AS112" s="53" t="str">
        <f>IF(Homework!M$1=$A112,Homework!M$46," ")</f>
        <v xml:space="preserve"> </v>
      </c>
      <c r="AT112" s="53" t="str">
        <f>IF(Homework!M$2=$A112,Homework!M$46," ")</f>
        <v xml:space="preserve"> </v>
      </c>
      <c r="AU112" s="53" t="str">
        <f>IF(Homework!N$1=$A112,Homework!N$46," ")</f>
        <v xml:space="preserve"> </v>
      </c>
      <c r="AV112" s="53" t="str">
        <f>IF(Homework!N$2=$A112,Homework!N$46," ")</f>
        <v xml:space="preserve"> </v>
      </c>
      <c r="AW112" s="53" t="str">
        <f>IF(Homework!O$1=$A112,Homework!O$46," ")</f>
        <v xml:space="preserve"> </v>
      </c>
      <c r="AX112" s="53" t="str">
        <f>IF(Homework!O$2=$A112,Homework!O$46," ")</f>
        <v xml:space="preserve"> </v>
      </c>
      <c r="AY112" s="53" t="str">
        <f>IF(Homework!P$1=$A112,Homework!P$46," ")</f>
        <v xml:space="preserve"> </v>
      </c>
      <c r="AZ112" s="53" t="str">
        <f>IF(Homework!P$2=$A112,Homework!P$46," ")</f>
        <v xml:space="preserve"> </v>
      </c>
      <c r="BA112" s="53" t="str">
        <f>IF(Homework!Q$1=$A112,Homework!Q$46," ")</f>
        <v xml:space="preserve"> </v>
      </c>
      <c r="BB112" s="53" t="str">
        <f>IF(Homework!Q$2=$A112,Homework!Q$46," ")</f>
        <v xml:space="preserve"> </v>
      </c>
      <c r="BC112" s="53" t="str">
        <f>IF(Homework!R$1=$A112,Homework!R$46," ")</f>
        <v xml:space="preserve"> </v>
      </c>
      <c r="BD112" s="53" t="str">
        <f>IF(Homework!R$2=$A112,Homework!R$46," ")</f>
        <v xml:space="preserve"> </v>
      </c>
      <c r="BE112" s="53" t="str">
        <f>IF(Homework!S$1=$A112,Homework!S$46," ")</f>
        <v xml:space="preserve"> </v>
      </c>
      <c r="BF112" s="53" t="str">
        <f>IF(Homework!S$2=$A112,Homework!S$46," ")</f>
        <v xml:space="preserve"> </v>
      </c>
      <c r="BG112" s="53" t="str">
        <f>IF(Homework!T$1=$A112,Homework!T$46," ")</f>
        <v xml:space="preserve"> </v>
      </c>
      <c r="BH112" s="53" t="str">
        <f>IF(Homework!T$2=$A112,Homework!T$46," ")</f>
        <v xml:space="preserve"> </v>
      </c>
      <c r="BI112" s="53" t="str">
        <f>IF(Homework!U$1=$A112,Homework!U$46," ")</f>
        <v xml:space="preserve"> </v>
      </c>
      <c r="BJ112" s="53" t="str">
        <f>IF(Homework!U$2=$A112,Homework!U$46," ")</f>
        <v xml:space="preserve"> </v>
      </c>
      <c r="BK112" s="53" t="str">
        <f>IF(Homework!V$1=$A112,Homework!V$46," ")</f>
        <v xml:space="preserve"> </v>
      </c>
      <c r="BL112" s="53" t="str">
        <f>IF(Homework!V$2=$A112,Homework!V$46," ")</f>
        <v xml:space="preserve"> </v>
      </c>
      <c r="BN112" s="66" t="str">
        <f>IF(Laboratory!C$1=$A112,Laboratory!C$46," ")</f>
        <v xml:space="preserve"> </v>
      </c>
      <c r="BO112" s="66" t="str">
        <f>IF(Laboratory!C$2=$A112,Laboratory!C$46," ")</f>
        <v xml:space="preserve"> </v>
      </c>
      <c r="BP112" s="66" t="str">
        <f>IF(Laboratory!D$1=$A112,Laboratory!D$46," ")</f>
        <v xml:space="preserve"> </v>
      </c>
      <c r="BQ112" s="66" t="str">
        <f>IF(Laboratory!D$2=$A112,Laboratory!D$46," ")</f>
        <v xml:space="preserve"> </v>
      </c>
      <c r="BR112" s="66" t="str">
        <f>IF(Laboratory!E$1=$A112,Laboratory!E$46," ")</f>
        <v xml:space="preserve"> </v>
      </c>
      <c r="BS112" s="66" t="str">
        <f>IF(Laboratory!E$2=$A112,Laboratory!E$46," ")</f>
        <v xml:space="preserve"> </v>
      </c>
      <c r="BT112" s="66" t="str">
        <f>IF(Laboratory!F$1=$A112,Laboratory!F$46," ")</f>
        <v xml:space="preserve"> </v>
      </c>
      <c r="BU112" s="66" t="str">
        <f>IF(Laboratory!F$2=$A112,Laboratory!F$46," ")</f>
        <v xml:space="preserve"> </v>
      </c>
      <c r="BV112" s="66" t="str">
        <f>IF(Laboratory!G$1=$A112,Laboratory!G$46," ")</f>
        <v xml:space="preserve"> </v>
      </c>
      <c r="BW112" s="66" t="str">
        <f>IF(Laboratory!G$2=$A112,Laboratory!G$46," ")</f>
        <v xml:space="preserve"> </v>
      </c>
      <c r="BX112" s="66" t="str">
        <f>IF(Laboratory!H$1=$A112,Laboratory!H$46," ")</f>
        <v xml:space="preserve"> </v>
      </c>
      <c r="BY112" s="66" t="str">
        <f>IF(Laboratory!H$2=$A112,Laboratory!H$46," ")</f>
        <v xml:space="preserve"> </v>
      </c>
      <c r="BZ112" s="66"/>
      <c r="CA112" s="66" t="str">
        <f>IF(Laboratory!I$2=$A112,Laboratory!I$46," ")</f>
        <v xml:space="preserve"> </v>
      </c>
      <c r="CB112" s="66"/>
      <c r="CC112" s="66" t="str">
        <f>IF(Laboratory!J$2=$A112,Laboratory!J$46," ")</f>
        <v xml:space="preserve"> </v>
      </c>
      <c r="CD112" s="66" t="str">
        <f>IF(Laboratory!K$1=$A112,Laboratory!K$46," ")</f>
        <v xml:space="preserve"> </v>
      </c>
      <c r="CE112" s="66" t="str">
        <f>IF(Laboratory!K$2=$A112,Laboratory!K$46," ")</f>
        <v xml:space="preserve"> </v>
      </c>
      <c r="CF112" s="66" t="str">
        <f>IF(Laboratory!L$1=$A112,Laboratory!L$46," ")</f>
        <v xml:space="preserve"> </v>
      </c>
      <c r="CG112" s="66" t="str">
        <f>IF(Laboratory!L$2=$A112,Laboratory!L$46," ")</f>
        <v xml:space="preserve"> </v>
      </c>
      <c r="CH112" s="66" t="str">
        <f>IF(Laboratory!M$1=$A112,Laboratory!M$46," ")</f>
        <v xml:space="preserve"> </v>
      </c>
      <c r="CI112" s="66" t="str">
        <f>IF(Laboratory!M$2=$A112,Laboratory!M$46," ")</f>
        <v xml:space="preserve"> </v>
      </c>
      <c r="CJ112" s="66" t="str">
        <f>IF(Laboratory!N$1=$A112,Laboratory!N$46," ")</f>
        <v xml:space="preserve"> </v>
      </c>
      <c r="CK112" s="66" t="str">
        <f>IF(Laboratory!N$2=$A112,Laboratory!N$46," ")</f>
        <v xml:space="preserve"> </v>
      </c>
      <c r="CL112" s="66" t="str">
        <f>IF(Laboratory!O$1=$A112,Laboratory!O$46," ")</f>
        <v xml:space="preserve"> </v>
      </c>
      <c r="CM112" s="66" t="str">
        <f>IF(Laboratory!O$2=$A112,Laboratory!O$46," ")</f>
        <v xml:space="preserve"> </v>
      </c>
      <c r="CN112" s="66" t="str">
        <f>IF(Laboratory!P$1=$A112,Laboratory!P$46," ")</f>
        <v xml:space="preserve"> </v>
      </c>
      <c r="CO112" s="66" t="str">
        <f>IF(Laboratory!P$2=$A112,Laboratory!P$46," ")</f>
        <v xml:space="preserve"> </v>
      </c>
      <c r="CQ112" s="52" t="str">
        <f>IF(Quizzes!C$1=$A112,Quizzes!C$46," ")</f>
        <v xml:space="preserve"> </v>
      </c>
      <c r="CR112" s="52" t="str">
        <f>IF(Quizzes!C$2=$A112,Quizzes!C$46," ")</f>
        <v xml:space="preserve"> </v>
      </c>
      <c r="CS112" s="52" t="str">
        <f>IF(Quizzes!D$1=$A112,Quizzes!D$46," ")</f>
        <v xml:space="preserve"> </v>
      </c>
      <c r="CT112" s="52" t="str">
        <f>IF(Quizzes!D$2=$A112,Quizzes!D$46," ")</f>
        <v xml:space="preserve"> </v>
      </c>
      <c r="CU112" s="52" t="str">
        <f>IF(Quizzes!E$1=$A112,Quizzes!E$46," ")</f>
        <v xml:space="preserve"> </v>
      </c>
      <c r="CV112" s="52" t="str">
        <f>IF(Quizzes!E$2=$A112,Quizzes!E$46," ")</f>
        <v xml:space="preserve"> </v>
      </c>
      <c r="CW112" s="52" t="str">
        <f>IF(Quizzes!F$1=$A112,Quizzes!F$46," ")</f>
        <v xml:space="preserve"> </v>
      </c>
      <c r="CX112" s="52" t="str">
        <f>IF(Quizzes!F$2=$A112,Quizzes!F$46," ")</f>
        <v xml:space="preserve"> </v>
      </c>
      <c r="CY112" s="52" t="str">
        <f>IF(Quizzes!G$1=$A112,Quizzes!G$46," ")</f>
        <v xml:space="preserve"> </v>
      </c>
      <c r="CZ112" s="52" t="str">
        <f>IF(Quizzes!G$2=$A112,Quizzes!G$46," ")</f>
        <v xml:space="preserve"> </v>
      </c>
      <c r="DA112" s="52" t="str">
        <f>IF(Quizzes!H$1=$A112,Quizzes!H$46," ")</f>
        <v xml:space="preserve"> </v>
      </c>
      <c r="DB112" s="52" t="str">
        <f>IF(Quizzes!H$2=$A112,Quizzes!H$46," ")</f>
        <v xml:space="preserve"> </v>
      </c>
      <c r="DC112" s="52" t="str">
        <f>IF(Quizzes!I$1=$A112,Quizzes!I$46," ")</f>
        <v xml:space="preserve"> </v>
      </c>
      <c r="DD112" s="52" t="str">
        <f>IF(Quizzes!I$2=$A112,Quizzes!I$46," ")</f>
        <v xml:space="preserve"> </v>
      </c>
      <c r="DE112" s="52" t="str">
        <f>IF(Quizzes!J$1=$A112,Quizzes!J$46," ")</f>
        <v xml:space="preserve"> </v>
      </c>
      <c r="DF112" s="52" t="str">
        <f>IF(Quizzes!J$2=$A112,Quizzes!J$46," ")</f>
        <v xml:space="preserve"> </v>
      </c>
      <c r="DG112" s="52" t="str">
        <f>IF(Quizzes!K$1=$A112,Quizzes!K$46," ")</f>
        <v xml:space="preserve"> </v>
      </c>
      <c r="DH112" s="52" t="str">
        <f>IF(Quizzes!K$2=$A112,Quizzes!K$46," ")</f>
        <v xml:space="preserve"> </v>
      </c>
      <c r="DI112" s="52" t="str">
        <f>IF(Quizzes!L$1=$A112,Quizzes!L$46," ")</f>
        <v xml:space="preserve"> </v>
      </c>
      <c r="DJ112" s="52" t="str">
        <f>IF(Quizzes!L$2=$A112,Quizzes!L$46," ")</f>
        <v xml:space="preserve"> </v>
      </c>
      <c r="DK112" s="52" t="str">
        <f>IF(Quizzes!M$1=$A112,Quizzes!M$46," ")</f>
        <v xml:space="preserve"> </v>
      </c>
      <c r="DL112" s="52" t="str">
        <f>IF(Quizzes!M$2=$A112,Quizzes!M$46," ")</f>
        <v xml:space="preserve"> </v>
      </c>
      <c r="DM112" s="52" t="str">
        <f>IF(Quizzes!N$1=$A112,Quizzes!N$46," ")</f>
        <v xml:space="preserve"> </v>
      </c>
      <c r="DN112" s="52" t="str">
        <f>IF(Quizzes!N$2=$A112,Quizzes!N$46," ")</f>
        <v xml:space="preserve"> </v>
      </c>
      <c r="DO112" s="52" t="str">
        <f>IF(Quizzes!O$1=$A112,Quizzes!O$46," ")</f>
        <v xml:space="preserve"> </v>
      </c>
      <c r="DP112" s="52" t="str">
        <f>IF(Quizzes!O$2=$A112,Quizzes!O$46," ")</f>
        <v xml:space="preserve"> </v>
      </c>
      <c r="DQ112" s="52" t="str">
        <f>IF(Quizzes!P$1=$A112,Quizzes!P$46," ")</f>
        <v xml:space="preserve"> </v>
      </c>
      <c r="DR112" s="52" t="str">
        <f>IF(Quizzes!P$2=$A112,Quizzes!P$46," ")</f>
        <v xml:space="preserve"> </v>
      </c>
      <c r="DS112" s="52" t="str">
        <f>IF(Quizzes!Q$1=$A112,Quizzes!Q$46," ")</f>
        <v xml:space="preserve"> </v>
      </c>
      <c r="DT112" s="52" t="str">
        <f>IF(Quizzes!Q$1=$A112,Quizzes!Q$46," ")</f>
        <v xml:space="preserve"> </v>
      </c>
      <c r="DV112" s="25" t="str">
        <f>IF('Midterm 1'!C$1=$A112,'Midterm 1'!C$47," ")</f>
        <v xml:space="preserve"> </v>
      </c>
      <c r="DW112" s="25" t="str">
        <f>IF('Midterm 1'!C$2=$A112,'Midterm 1'!C$47," ")</f>
        <v xml:space="preserve"> </v>
      </c>
      <c r="DX112" s="25" t="str">
        <f>IF('Midterm 1'!D$1=$A112,'Midterm 1'!D$47," ")</f>
        <v xml:space="preserve"> </v>
      </c>
      <c r="DY112" s="25" t="str">
        <f>IF('Midterm 1'!D$2=$A112,'Midterm 1'!D$47," ")</f>
        <v xml:space="preserve"> </v>
      </c>
      <c r="DZ112" s="25" t="str">
        <f>IF('Midterm 1'!E$1=$A112,'Midterm 1'!E$47," ")</f>
        <v xml:space="preserve"> </v>
      </c>
      <c r="EA112" s="25" t="str">
        <f>IF('Midterm 1'!E$2=$A112,'Midterm 1'!E$47," ")</f>
        <v xml:space="preserve"> </v>
      </c>
      <c r="EB112" s="25" t="str">
        <f>IF('Midterm 1'!F$1=$A112,'Midterm 1'!F$47," ")</f>
        <v xml:space="preserve"> </v>
      </c>
      <c r="EC112" s="25" t="str">
        <f>IF('Midterm 1'!F$2=$A112,'Midterm 1'!F$47," ")</f>
        <v xml:space="preserve"> </v>
      </c>
      <c r="ED112" s="25" t="str">
        <f>IF('Midterm 1'!G$1=$A112,'Midterm 1'!G$47," ")</f>
        <v xml:space="preserve"> </v>
      </c>
      <c r="EE112" s="25" t="str">
        <f>IF('Midterm 1'!G$2=$A112,'Midterm 1'!G$47," ")</f>
        <v xml:space="preserve"> </v>
      </c>
      <c r="EF112" s="25" t="str">
        <f>IF('Midterm 1'!H$1=$A112,'Midterm 1'!I$47," ")</f>
        <v xml:space="preserve"> </v>
      </c>
      <c r="EG112" s="25" t="str">
        <f>IF('Midterm 1'!H$2=$A112,'Midterm 1'!H$47," ")</f>
        <v xml:space="preserve"> </v>
      </c>
      <c r="EH112" s="25" t="str">
        <f>IF('Midterm 1'!I$1=$A112,'Midterm 1'!I$47," ")</f>
        <v xml:space="preserve"> </v>
      </c>
      <c r="EI112" s="25" t="str">
        <f>IF('Midterm 1'!I$2=$A112,'Midterm 1'!I$47," ")</f>
        <v xml:space="preserve"> </v>
      </c>
      <c r="EJ112" s="25" t="str">
        <f>IF('Midterm 1'!J$1=$A112,'Midterm 1'!J$47," ")</f>
        <v xml:space="preserve"> </v>
      </c>
      <c r="EK112" s="25" t="str">
        <f>IF('Midterm 1'!J$2=$A112,'Midterm 1'!J$47," ")</f>
        <v xml:space="preserve"> </v>
      </c>
      <c r="EL112" s="25" t="str">
        <f>IF('Midterm 1'!K$1=$A112,'Midterm 1'!K$47," ")</f>
        <v xml:space="preserve"> </v>
      </c>
      <c r="EM112" s="25" t="str">
        <f>IF('Midterm 1'!K$2=$A112,'Midterm 1'!K$47," ")</f>
        <v xml:space="preserve"> </v>
      </c>
      <c r="EN112" s="25" t="str">
        <f>IF('Midterm 1'!L$1=$A112,'Midterm 1'!L$47," ")</f>
        <v xml:space="preserve"> </v>
      </c>
      <c r="EO112" s="25" t="str">
        <f>IF('Midterm 1'!L$2=$A112,'Midterm 1'!L$47," ")</f>
        <v xml:space="preserve"> </v>
      </c>
      <c r="EP112" s="25" t="str">
        <f>IF('Midterm 1'!M$1=$A112,'Midterm 1'!M$47," ")</f>
        <v xml:space="preserve"> </v>
      </c>
      <c r="EQ112" s="25" t="str">
        <f>IF('Midterm 1'!M$2=$A112,'Midterm 1'!M$47," ")</f>
        <v xml:space="preserve"> </v>
      </c>
      <c r="ER112" s="25" t="str">
        <f>IF('Midterm 1'!N$1=$A112,'Midterm 1'!N$47," ")</f>
        <v xml:space="preserve"> </v>
      </c>
      <c r="ES112" s="25" t="str">
        <f>IF('Midterm 1'!N$2=$A112,'Midterm 1'!N$47," ")</f>
        <v xml:space="preserve"> </v>
      </c>
      <c r="ET112" s="25" t="str">
        <f>IF('Midterm 1'!O$1=$A112,'Midterm 1'!O$47," ")</f>
        <v xml:space="preserve"> </v>
      </c>
      <c r="EU112" s="25" t="str">
        <f>IF('Midterm 1'!O$2=$A112,'Midterm 1'!O$47," ")</f>
        <v xml:space="preserve"> </v>
      </c>
      <c r="EV112" s="25" t="str">
        <f>IF('Midterm 1'!P$1=$A112,'Midterm 1'!P$47," ")</f>
        <v xml:space="preserve"> </v>
      </c>
      <c r="EW112" s="25" t="str">
        <f>IF('Midterm 1'!P$2=$A112,'Midterm 1'!P$47," ")</f>
        <v xml:space="preserve"> </v>
      </c>
      <c r="EX112" s="25" t="str">
        <f>IF('Midterm 1'!Q$1=$A112,'Midterm 1'!Q$47," ")</f>
        <v xml:space="preserve"> </v>
      </c>
      <c r="EY112" s="25" t="str">
        <f>IF('Midterm 1'!Q$2=$A112,'Midterm 1'!Q$47," ")</f>
        <v xml:space="preserve"> </v>
      </c>
      <c r="EZ112" s="25" t="str">
        <f>IF('Midterm 1'!R$1=$A112,'Midterm 1'!R$47," ")</f>
        <v xml:space="preserve"> </v>
      </c>
      <c r="FA112" s="25" t="str">
        <f>IF('Midterm 1'!R$2=$A112,'Midterm 1'!R$47," ")</f>
        <v xml:space="preserve"> </v>
      </c>
      <c r="FB112" s="25" t="str">
        <f>IF('Midterm 1'!S$1=$A112,'Midterm 1'!S$47," ")</f>
        <v xml:space="preserve"> </v>
      </c>
      <c r="FC112" s="25" t="str">
        <f>IF('Midterm 1'!S$2=$A112,'Midterm 1'!S$47," ")</f>
        <v xml:space="preserve"> </v>
      </c>
      <c r="FD112" s="25" t="str">
        <f>IF('Midterm 1'!T$1=$A112,'Midterm 1'!T$47," ")</f>
        <v xml:space="preserve"> </v>
      </c>
      <c r="FE112" s="25" t="str">
        <f>IF('Midterm 1'!T$2=$A112,'Midterm 1'!T$47," ")</f>
        <v xml:space="preserve"> </v>
      </c>
      <c r="FF112" s="25" t="str">
        <f>IF('Midterm 1'!U$1=$A112,'Midterm 1'!U$47," ")</f>
        <v xml:space="preserve"> </v>
      </c>
      <c r="FG112" s="25" t="str">
        <f>IF('Midterm 1'!U$2=$A112,'Midterm 1'!U$47," ")</f>
        <v xml:space="preserve"> </v>
      </c>
      <c r="FH112" s="25" t="str">
        <f>IF('Midterm 1'!V$1=$A112,'Midterm 1'!V$47," ")</f>
        <v xml:space="preserve"> </v>
      </c>
      <c r="FI112" s="25" t="str">
        <f>IF('Midterm 1'!V$2=$A112,'Midterm 1'!V$47," ")</f>
        <v xml:space="preserve"> </v>
      </c>
      <c r="FJ112" s="25" t="str">
        <f>IF('Midterm 1'!W$1=$A112,'Midterm 1'!W$47," ")</f>
        <v xml:space="preserve"> </v>
      </c>
      <c r="FK112" s="25" t="str">
        <f>IF('Midterm 1'!W$2=$A112,'Midterm 1'!W$47," ")</f>
        <v xml:space="preserve"> </v>
      </c>
      <c r="FL112" s="25" t="str">
        <f>IF('Midterm 1'!X$1=$A112,'Midterm 1'!X$47," ")</f>
        <v xml:space="preserve"> </v>
      </c>
      <c r="FM112" s="25" t="str">
        <f>IF('Midterm 1'!X$2=$A112,'Midterm 1'!X$47," ")</f>
        <v xml:space="preserve"> </v>
      </c>
      <c r="FN112" s="25" t="str">
        <f>IF('Midterm 1'!Y$1=$A112,'Midterm 1'!Y$47," ")</f>
        <v xml:space="preserve"> </v>
      </c>
      <c r="FO112" s="25" t="str">
        <f>IF('Midterm 1'!Y$2=$A112,'Midterm 1'!Y$47," ")</f>
        <v xml:space="preserve"> </v>
      </c>
      <c r="FP112" s="25" t="str">
        <f>IF('Midterm 1'!Z$1=$A112,'Midterm 1'!Z$47," ")</f>
        <v xml:space="preserve"> </v>
      </c>
      <c r="FQ112" s="25" t="str">
        <f>IF('Midterm 1'!Z$2=$A112,'Midterm 1'!Z$47," ")</f>
        <v xml:space="preserve"> </v>
      </c>
      <c r="FR112" s="25" t="str">
        <f>IF('Midterm 1'!AA$1=$A112,'Midterm 1'!AA$47," ")</f>
        <v xml:space="preserve"> </v>
      </c>
      <c r="FS112" s="25" t="str">
        <f>IF('Midterm 1'!AA$2=$A112,'Midterm 1'!AA$47," ")</f>
        <v xml:space="preserve"> </v>
      </c>
      <c r="FT112" s="25" t="str">
        <f>IF('Midterm 1'!AB$1=$A112,'Midterm 1'!AB$47," ")</f>
        <v xml:space="preserve"> </v>
      </c>
      <c r="FU112" s="25" t="str">
        <f>IF('Midterm 1'!AB$2=$A112,'Midterm 1'!AB$47," ")</f>
        <v xml:space="preserve"> </v>
      </c>
      <c r="FV112" s="25" t="str">
        <f>IF('Midterm 1'!AC$1=$A112,'Midterm 1'!AC$47," ")</f>
        <v xml:space="preserve"> </v>
      </c>
      <c r="FW112" s="25" t="str">
        <f>IF('Midterm 1'!AC$2=$A112,'Midterm 1'!AC$47," ")</f>
        <v xml:space="preserve"> </v>
      </c>
      <c r="FX112" s="25" t="str">
        <f>IF('Midterm 1'!AD$1=$A112,'Midterm 1'!AD$47," ")</f>
        <v xml:space="preserve"> </v>
      </c>
      <c r="FY112" s="25" t="str">
        <f>IF('Midterm 1'!AD$2=$A112,'Midterm 1'!AD$47," ")</f>
        <v xml:space="preserve"> </v>
      </c>
      <c r="FZ112" s="25" t="str">
        <f>IF('Midterm 1'!AE$1=$A112,'Midterm 1'!AE$47," ")</f>
        <v xml:space="preserve"> </v>
      </c>
      <c r="GA112" s="25" t="str">
        <f>IF('Midterm 1'!AE$2=$A112,'Midterm 1'!AE$47," ")</f>
        <v xml:space="preserve"> </v>
      </c>
      <c r="GB112" s="25" t="str">
        <f>IF('Midterm 1'!AF$1=$A112,'Midterm 1'!AF$47," ")</f>
        <v xml:space="preserve"> </v>
      </c>
      <c r="GC112" s="25" t="str">
        <f>IF('Midterm 1'!AF$2=$A112,'Midterm 1'!AF$47," ")</f>
        <v xml:space="preserve"> </v>
      </c>
      <c r="GE112" s="25" t="str">
        <f>IF('Midterm 2'!C$1=$A112,'Midterm 2'!C$47," ")</f>
        <v xml:space="preserve"> </v>
      </c>
      <c r="GF112" s="25" t="str">
        <f>IF('Midterm 2'!C$2=$A112,'Midterm 2'!C$47," ")</f>
        <v xml:space="preserve"> </v>
      </c>
      <c r="GG112" s="25" t="str">
        <f>IF('Midterm 2'!D$1=$A112,'Midterm 2'!D$47," ")</f>
        <v xml:space="preserve"> </v>
      </c>
      <c r="GH112" s="25" t="str">
        <f>IF('Midterm 2'!D$2=$A112,'Midterm 2'!D$47," ")</f>
        <v xml:space="preserve"> </v>
      </c>
      <c r="GI112" s="25" t="str">
        <f>IF('Midterm 2'!E$1=$A112,'Midterm 2'!E$47," ")</f>
        <v xml:space="preserve"> </v>
      </c>
      <c r="GJ112" s="25" t="str">
        <f>IF('Midterm 2'!E$2=$A112,'Midterm 2'!E$47," ")</f>
        <v xml:space="preserve"> </v>
      </c>
      <c r="GK112" s="25" t="str">
        <f>IF('Midterm 2'!F$1=$A112,'Midterm 2'!F$47," ")</f>
        <v xml:space="preserve"> </v>
      </c>
      <c r="GL112" s="25" t="str">
        <f>IF('Midterm 2'!F$2=$A112,'Midterm 2'!F$47," ")</f>
        <v xml:space="preserve"> </v>
      </c>
      <c r="GM112" s="25" t="str">
        <f>IF('Midterm 2'!G$1=$A112,'Midterm 2'!G$47," ")</f>
        <v xml:space="preserve"> </v>
      </c>
      <c r="GN112" s="25" t="str">
        <f>IF('Midterm 2'!G$2=$A112,'Midterm 2'!G$47," ")</f>
        <v xml:space="preserve"> </v>
      </c>
      <c r="GO112" s="25" t="str">
        <f>IF('Midterm 2'!H$1=$A112,'Midterm 2'!H$47," ")</f>
        <v xml:space="preserve"> </v>
      </c>
      <c r="GP112" s="25" t="str">
        <f>IF('Midterm 2'!H$2=$A112,'Midterm 2'!H$47," ")</f>
        <v xml:space="preserve"> </v>
      </c>
      <c r="GQ112" s="25" t="str">
        <f>IF('Midterm 2'!I$1=$A112,'Midterm 2'!I$47," ")</f>
        <v xml:space="preserve"> </v>
      </c>
      <c r="GR112" s="25" t="str">
        <f>IF('Midterm 2'!I$2=$A112,'Midterm 2'!I$47," ")</f>
        <v xml:space="preserve"> </v>
      </c>
      <c r="GS112" s="25" t="str">
        <f>IF('Midterm 2'!J$1=$A112,'Midterm 2'!J$47," ")</f>
        <v xml:space="preserve"> </v>
      </c>
      <c r="GT112" s="25" t="str">
        <f>IF('Midterm 2'!J$2=$A112,'Midterm 2'!J$47," ")</f>
        <v xml:space="preserve"> </v>
      </c>
      <c r="GU112" s="25" t="str">
        <f>IF('Midterm 2'!K$1=$A112,'Midterm 2'!K$47," ")</f>
        <v xml:space="preserve"> </v>
      </c>
      <c r="GV112" s="25" t="str">
        <f>IF('Midterm 2'!K$2=$A112,'Midterm 2'!K$47," ")</f>
        <v xml:space="preserve"> </v>
      </c>
      <c r="GW112" s="25" t="str">
        <f>IF('Midterm 2'!L$1=$A112,'Midterm 2'!L$47," ")</f>
        <v xml:space="preserve"> </v>
      </c>
      <c r="GX112" s="25" t="str">
        <f>IF('Midterm 2'!L$2=$A112,'Midterm 2'!L$47," ")</f>
        <v xml:space="preserve"> </v>
      </c>
      <c r="GY112" s="25" t="str">
        <f>IF('Midterm 2'!M$1=$A112,'Midterm 2'!M$47," ")</f>
        <v xml:space="preserve"> </v>
      </c>
      <c r="GZ112" s="25" t="str">
        <f>IF('Midterm 2'!M$2=$A112,'Midterm 2'!M$47," ")</f>
        <v xml:space="preserve"> </v>
      </c>
      <c r="HA112" s="25" t="str">
        <f>IF('Midterm 2'!N$1=$A112,'Midterm 2'!N$47," ")</f>
        <v xml:space="preserve"> </v>
      </c>
      <c r="HB112" s="25" t="str">
        <f>IF('Midterm 2'!N$2=$A112,'Midterm 2'!N$47," ")</f>
        <v xml:space="preserve"> </v>
      </c>
      <c r="HC112" s="25" t="str">
        <f>IF('Midterm 2'!O$1=$A112,'Midterm 2'!O$47," ")</f>
        <v xml:space="preserve"> </v>
      </c>
      <c r="HD112" s="25" t="str">
        <f>IF('Midterm 2'!O$2=$A112,'Midterm 2'!O$47," ")</f>
        <v xml:space="preserve"> </v>
      </c>
      <c r="HE112" s="25" t="str">
        <f>IF('Midterm 2'!P$1=$A112,'Midterm 2'!P$47," ")</f>
        <v xml:space="preserve"> </v>
      </c>
      <c r="HF112" s="25" t="str">
        <f>IF('Midterm 2'!P$2=$A112,'Midterm 2'!P$47," ")</f>
        <v xml:space="preserve"> </v>
      </c>
      <c r="HG112" s="25" t="str">
        <f>IF('Midterm 2'!Q$1=$A112,'Midterm 2'!Q$47," ")</f>
        <v xml:space="preserve"> </v>
      </c>
      <c r="HH112" s="25" t="str">
        <f>IF('Midterm 2'!Q$2=$A112,'Midterm 2'!Q$47," ")</f>
        <v xml:space="preserve"> </v>
      </c>
      <c r="HI112" s="25" t="str">
        <f>IF('Midterm 2'!R$1=$A112,'Midterm 2'!R$47," ")</f>
        <v xml:space="preserve"> </v>
      </c>
      <c r="HJ112" s="25" t="str">
        <f>IF('Midterm 2'!R$2=$A112,'Midterm 2'!R$47," ")</f>
        <v xml:space="preserve"> </v>
      </c>
      <c r="HK112" s="25" t="str">
        <f>IF('Midterm 2'!S$1=$A112,'Midterm 2'!S$47," ")</f>
        <v xml:space="preserve"> </v>
      </c>
      <c r="HL112" s="25" t="str">
        <f>IF('Midterm 2'!S$2=$A112,'Midterm 2'!S$47," ")</f>
        <v xml:space="preserve"> </v>
      </c>
      <c r="HM112" s="25" t="str">
        <f>IF('Midterm 2'!T$1=$A112,'Midterm 2'!T$47," ")</f>
        <v xml:space="preserve"> </v>
      </c>
      <c r="HN112" s="25" t="str">
        <f>IF('Midterm 2'!T$2=$A112,'Midterm 2'!T$47," ")</f>
        <v xml:space="preserve"> </v>
      </c>
      <c r="HO112" s="25" t="str">
        <f>IF('Midterm 2'!U$1=$A112,'Midterm 2'!U$47," ")</f>
        <v xml:space="preserve"> </v>
      </c>
      <c r="HP112" s="25" t="str">
        <f>IF('Midterm 2'!U$2=$A112,'Midterm 2'!U$47," ")</f>
        <v xml:space="preserve"> </v>
      </c>
      <c r="HQ112" s="25" t="str">
        <f>IF('Midterm 2'!V$1=$A112,'Midterm 2'!V$47," ")</f>
        <v xml:space="preserve"> </v>
      </c>
      <c r="HR112" s="25" t="str">
        <f>IF('Midterm 2'!V$2=$A112,'Midterm 2'!V$47," ")</f>
        <v xml:space="preserve"> </v>
      </c>
      <c r="HS112" s="25" t="str">
        <f>IF('Midterm 2'!W$1=$A112,'Midterm 2'!W$47," ")</f>
        <v xml:space="preserve"> </v>
      </c>
      <c r="HT112" s="25" t="str">
        <f>IF('Midterm 2'!W$2=$A112,'Midterm 2'!W$47," ")</f>
        <v xml:space="preserve"> </v>
      </c>
      <c r="HU112" s="25" t="str">
        <f>IF('Midterm 2'!X$1=$A112,'Midterm 2'!X$47," ")</f>
        <v xml:space="preserve"> </v>
      </c>
      <c r="HV112" s="25" t="str">
        <f>IF('Midterm 2'!X$2=$A112,'Midterm 2'!X$47," ")</f>
        <v xml:space="preserve"> </v>
      </c>
      <c r="HW112" s="25" t="str">
        <f>IF('Midterm 2'!Y$1=$A112,'Midterm 2'!Y$47," ")</f>
        <v xml:space="preserve"> </v>
      </c>
      <c r="HX112" s="25" t="str">
        <f>IF('Midterm 2'!Y$2=$A112,'Midterm 2'!Y$47," ")</f>
        <v xml:space="preserve"> </v>
      </c>
      <c r="HY112" s="25" t="str">
        <f>IF('Midterm 2'!Z$1=$A112,'Midterm 2'!Z$47," ")</f>
        <v xml:space="preserve"> </v>
      </c>
      <c r="HZ112" s="25" t="str">
        <f>IF('Midterm 2'!Z$2=$A112,'Midterm 2'!Z$47," ")</f>
        <v xml:space="preserve"> </v>
      </c>
      <c r="IA112" s="25" t="str">
        <f>IF('Midterm 2'!AA$1=$A112,'Midterm 2'!AA$47," ")</f>
        <v xml:space="preserve"> </v>
      </c>
      <c r="IB112" s="25" t="str">
        <f>IF('Midterm 2'!AA$2=$A112,'Midterm 2'!AA$47," ")</f>
        <v xml:space="preserve"> </v>
      </c>
      <c r="IC112" s="25" t="str">
        <f>IF('Midterm 2'!AB$1=$A112,'Midterm 2'!AB$47," ")</f>
        <v xml:space="preserve"> </v>
      </c>
      <c r="ID112" s="25" t="str">
        <f>IF('Midterm 2'!AB$2=$A112,'Midterm 2'!AB$47," ")</f>
        <v xml:space="preserve"> </v>
      </c>
      <c r="IE112" s="25" t="str">
        <f>IF('Midterm 2'!AC$1=$A112,'Midterm 2'!AC$47," ")</f>
        <v xml:space="preserve"> </v>
      </c>
      <c r="IF112" s="25" t="str">
        <f>IF('Midterm 2'!AC$2=$A112,'Midterm 2'!AC$47," ")</f>
        <v xml:space="preserve"> </v>
      </c>
      <c r="IG112" s="25" t="str">
        <f>IF('Midterm 2'!AD$1=$A112,'Midterm 2'!AD$47," ")</f>
        <v xml:space="preserve"> </v>
      </c>
      <c r="IH112" s="25" t="str">
        <f>IF('Midterm 2'!AD$2=$A112,'Midterm 2'!AD$47," ")</f>
        <v xml:space="preserve"> </v>
      </c>
      <c r="II112" s="25" t="str">
        <f>IF('Midterm 2'!AE$1=$A112,'Midterm 2'!AE$47," ")</f>
        <v xml:space="preserve"> </v>
      </c>
      <c r="IJ112" s="25" t="str">
        <f>IF('Midterm 2'!AE$2=$A112,'Midterm 2'!AE$47," ")</f>
        <v xml:space="preserve"> </v>
      </c>
      <c r="IK112" s="25" t="str">
        <f>IF('Midterm 2'!AF$1=$A112,'Midterm 2'!AF$47," ")</f>
        <v xml:space="preserve"> </v>
      </c>
      <c r="IL112" s="25" t="str">
        <f>IF('Midterm 2'!AF$2=$A112,'Midterm 2'!AF$47," ")</f>
        <v xml:space="preserve"> </v>
      </c>
      <c r="IM112" s="25" t="str">
        <f>IF('Midterm 2'!AG$1=$A112,'Midterm 2'!AG$47," ")</f>
        <v xml:space="preserve"> </v>
      </c>
      <c r="IN112" s="25" t="str">
        <f>IF('Midterm 2'!AG$2=$A112,'Midterm 2'!AG$47," ")</f>
        <v xml:space="preserve"> </v>
      </c>
      <c r="IO112" s="25" t="str">
        <f>IF('Midterm 2'!AH$1=$A112,'Midterm 2'!AH$47," ")</f>
        <v xml:space="preserve"> </v>
      </c>
      <c r="IP112" s="25" t="str">
        <f>IF('Midterm 2'!AH$2=$A112,'Midterm 2'!AF$47," ")</f>
        <v xml:space="preserve"> </v>
      </c>
      <c r="IR112" s="54" t="str">
        <f>IF('Final Exam'!C$1=$A112,'Final Exam'!C$46," ")</f>
        <v xml:space="preserve"> </v>
      </c>
      <c r="IS112" s="54" t="str">
        <f>IF('Final Exam'!C$2=$A112,'Final Exam'!C$46," ")</f>
        <v xml:space="preserve"> </v>
      </c>
      <c r="IT112" s="54" t="str">
        <f>IF('Final Exam'!D$1=$A112,'Final Exam'!D$46," ")</f>
        <v xml:space="preserve"> </v>
      </c>
      <c r="IU112" s="54" t="str">
        <f>IF('Final Exam'!D$2=$A112,'Final Exam'!D$46," ")</f>
        <v xml:space="preserve"> </v>
      </c>
      <c r="IV112" s="54" t="str">
        <f>IF('Final Exam'!E$1=$A112,'Final Exam'!E$46," ")</f>
        <v xml:space="preserve"> </v>
      </c>
      <c r="IW112" s="54" t="str">
        <f>IF('Final Exam'!E$2=$A112,'Final Exam'!E$46," ")</f>
        <v xml:space="preserve"> </v>
      </c>
      <c r="IX112" s="54" t="str">
        <f>IF('Final Exam'!F$1=$A112,'Final Exam'!F$46," ")</f>
        <v xml:space="preserve"> </v>
      </c>
      <c r="IY112" s="54" t="str">
        <f>IF('Final Exam'!F$2=$A112,'Final Exam'!F$46," ")</f>
        <v xml:space="preserve"> </v>
      </c>
      <c r="IZ112" s="54" t="str">
        <f>IF('Final Exam'!G$1=$A112,'Final Exam'!G$46," ")</f>
        <v xml:space="preserve"> </v>
      </c>
      <c r="JA112" s="54" t="str">
        <f>IF('Final Exam'!G$2=$A112,'Final Exam'!G$46," ")</f>
        <v xml:space="preserve"> </v>
      </c>
      <c r="JB112" s="54" t="str">
        <f>IF('Final Exam'!H$1=$A112,'Final Exam'!G$46," ")</f>
        <v xml:space="preserve"> </v>
      </c>
      <c r="JC112" s="54" t="str">
        <f>IF('Final Exam'!H$2=$A112,'Final Exam'!H$46," ")</f>
        <v xml:space="preserve"> </v>
      </c>
      <c r="JD112" s="54" t="str">
        <f>IF('Final Exam'!I$1=$A112,'Final Exam'!I$46," ")</f>
        <v xml:space="preserve"> </v>
      </c>
      <c r="JE112" s="54" t="str">
        <f>IF('Final Exam'!I$2=$A112,'Final Exam'!I$46," ")</f>
        <v xml:space="preserve"> </v>
      </c>
      <c r="JF112" s="54" t="str">
        <f>IF('Final Exam'!J$1=$A112,'Final Exam'!J$46," ")</f>
        <v xml:space="preserve"> </v>
      </c>
      <c r="JG112" s="54" t="str">
        <f>IF('Final Exam'!J$2=$A112,'Final Exam'!J$46," ")</f>
        <v xml:space="preserve"> </v>
      </c>
      <c r="JH112" s="54" t="str">
        <f>IF('Final Exam'!K$1=$A112,'Final Exam'!K$46," ")</f>
        <v xml:space="preserve"> </v>
      </c>
      <c r="JI112" s="54" t="str">
        <f>IF('Final Exam'!K$2=$A112,'Final Exam'!K$46," ")</f>
        <v xml:space="preserve"> </v>
      </c>
      <c r="JJ112" s="54" t="str">
        <f>IF('Final Exam'!L$1=$A112,'Final Exam'!L$46," ")</f>
        <v xml:space="preserve"> </v>
      </c>
      <c r="JK112" s="54" t="str">
        <f>IF('Final Exam'!L$2=$A112,'Final Exam'!L$46," ")</f>
        <v xml:space="preserve"> </v>
      </c>
      <c r="JL112" s="54" t="str">
        <f>IF('Final Exam'!M$1=$A112,'Final Exam'!M$46," ")</f>
        <v xml:space="preserve"> </v>
      </c>
      <c r="JM112" s="54" t="str">
        <f>IF('Final Exam'!M$2=$A112,'Final Exam'!M$46," ")</f>
        <v xml:space="preserve"> </v>
      </c>
      <c r="JN112" s="54" t="str">
        <f>IF('Final Exam'!N$1=$A112,'Final Exam'!N$46," ")</f>
        <v xml:space="preserve"> </v>
      </c>
      <c r="JO112" s="54" t="str">
        <f>IF('Final Exam'!N$2=$A112,'Final Exam'!N$46," ")</f>
        <v xml:space="preserve"> </v>
      </c>
      <c r="JP112" s="54" t="str">
        <f>IF('Final Exam'!O$1=$A112,'Final Exam'!O$46," ")</f>
        <v xml:space="preserve"> </v>
      </c>
      <c r="JQ112" s="54" t="str">
        <f>IF('Final Exam'!O$2=$A112,'Final Exam'!O$46," ")</f>
        <v xml:space="preserve"> </v>
      </c>
      <c r="JR112" s="54" t="str">
        <f>IF('Final Exam'!P$1=$A112,'Final Exam'!P$46," ")</f>
        <v xml:space="preserve"> </v>
      </c>
      <c r="JS112" s="54" t="str">
        <f>IF('Final Exam'!P$2=$A112,'Final Exam'!P$46," ")</f>
        <v xml:space="preserve"> </v>
      </c>
      <c r="JT112" s="54" t="str">
        <f>IF('Final Exam'!Q$1=$A112,'Final Exam'!Q$46," ")</f>
        <v xml:space="preserve"> </v>
      </c>
      <c r="JU112" s="54" t="str">
        <f>IF('Final Exam'!Q$2=$A112,'Final Exam'!Q$46," ")</f>
        <v xml:space="preserve"> </v>
      </c>
      <c r="JV112" s="54" t="str">
        <f>IF('Final Exam'!R$1=$A112,'Final Exam'!R$46," ")</f>
        <v xml:space="preserve"> </v>
      </c>
      <c r="JW112" s="54" t="str">
        <f>IF('Final Exam'!R$2=$A112,'Final Exam'!R$46," ")</f>
        <v xml:space="preserve"> </v>
      </c>
      <c r="JX112" s="54" t="str">
        <f>IF('Final Exam'!S$1=$A112,'Final Exam'!S$46," ")</f>
        <v xml:space="preserve"> </v>
      </c>
      <c r="JY112" s="54" t="str">
        <f>IF('Final Exam'!S$2=$A112,'Final Exam'!S$46," ")</f>
        <v xml:space="preserve"> </v>
      </c>
      <c r="JZ112" s="54" t="str">
        <f>IF('Final Exam'!T$1=$A112,'Final Exam'!T$46," ")</f>
        <v xml:space="preserve"> </v>
      </c>
      <c r="KA112" s="54" t="str">
        <f>IF('Final Exam'!T$2=$A112,'Final Exam'!T$46," ")</f>
        <v xml:space="preserve"> </v>
      </c>
      <c r="KB112" s="54" t="str">
        <f>IF('Final Exam'!U$1=$A112,'Final Exam'!U$46," ")</f>
        <v xml:space="preserve"> </v>
      </c>
      <c r="KC112" s="54" t="str">
        <f>IF('Final Exam'!U$2=$A112,'Final Exam'!U$46," ")</f>
        <v xml:space="preserve"> </v>
      </c>
      <c r="KD112" s="54" t="str">
        <f>IF('Final Exam'!V$1=$A112,'Final Exam'!V$46," ")</f>
        <v xml:space="preserve"> </v>
      </c>
      <c r="KE112" s="54" t="str">
        <f>IF('Final Exam'!V$2=$A112,'Final Exam'!V$46," ")</f>
        <v xml:space="preserve"> </v>
      </c>
      <c r="KF112" s="54" t="str">
        <f>IF('Final Exam'!W$1=$A112,'Final Exam'!W$46," ")</f>
        <v xml:space="preserve"> </v>
      </c>
      <c r="KG112" s="54" t="str">
        <f>IF('Final Exam'!W$2=$A112,'Final Exam'!W$46," ")</f>
        <v xml:space="preserve"> </v>
      </c>
      <c r="KH112" s="54" t="str">
        <f>IF('Final Exam'!X$1=$A112,'Final Exam'!X$46," ")</f>
        <v xml:space="preserve"> </v>
      </c>
      <c r="KI112" s="54" t="str">
        <f>IF('Final Exam'!X$2=$A112,'Final Exam'!X$46," ")</f>
        <v xml:space="preserve"> </v>
      </c>
      <c r="KJ112" s="54" t="str">
        <f>IF('Final Exam'!Y$1=$A112,'Final Exam'!Y$46," ")</f>
        <v xml:space="preserve"> </v>
      </c>
      <c r="KK112" s="54" t="str">
        <f>IF('Final Exam'!Y$2=$A112,'Final Exam'!Y$46," ")</f>
        <v xml:space="preserve"> </v>
      </c>
      <c r="KL112" s="54" t="str">
        <f>IF('Final Exam'!Z$1=$A112,'Final Exam'!Z$46," ")</f>
        <v xml:space="preserve"> </v>
      </c>
      <c r="KM112" s="54" t="str">
        <f>IF('Final Exam'!Z$2=$A112,'Final Exam'!Z$46," ")</f>
        <v xml:space="preserve"> </v>
      </c>
      <c r="KN112" s="54" t="str">
        <f>IF('Final Exam'!AA$1=$A112,'Final Exam'!AA$46," ")</f>
        <v xml:space="preserve"> </v>
      </c>
      <c r="KO112" s="54" t="str">
        <f>IF('Final Exam'!AA$2=$A112,'Final Exam'!AA$46," ")</f>
        <v xml:space="preserve"> </v>
      </c>
      <c r="KP112" s="54" t="str">
        <f>IF('Final Exam'!AB$1=$A112,'Final Exam'!AB$46," ")</f>
        <v xml:space="preserve"> </v>
      </c>
      <c r="KQ112" s="54" t="str">
        <f>IF('Final Exam'!AB$2=$A112,'Final Exam'!AB$46," ")</f>
        <v xml:space="preserve"> </v>
      </c>
      <c r="KR112" s="54" t="str">
        <f>IF('Final Exam'!AC$1=$A112,'Final Exam'!AC$46," ")</f>
        <v xml:space="preserve"> </v>
      </c>
      <c r="KS112" s="54" t="str">
        <f>IF('Final Exam'!AC$2=$A112,'Final Exam'!AC$46," ")</f>
        <v xml:space="preserve"> </v>
      </c>
      <c r="KT112" s="54" t="str">
        <f>IF('Final Exam'!AD$1=$A112,'Final Exam'!AD$46," ")</f>
        <v xml:space="preserve"> </v>
      </c>
      <c r="KU112" s="54" t="str">
        <f>IF('Final Exam'!AD$2=$A112,'Final Exam'!AD$46," ")</f>
        <v xml:space="preserve"> </v>
      </c>
      <c r="KV112" s="54" t="str">
        <f>IF('Final Exam'!AE$1=$A112,'Final Exam'!AE$46," ")</f>
        <v xml:space="preserve"> </v>
      </c>
      <c r="KW112" s="54" t="str">
        <f>IF('Final Exam'!AE$2=$A112,'Final Exam'!AE$46," ")</f>
        <v xml:space="preserve"> </v>
      </c>
      <c r="KX112" s="54" t="str">
        <f>IF('Final Exam'!AF$1=$A112,'Final Exam'!AF$46," ")</f>
        <v xml:space="preserve"> </v>
      </c>
      <c r="KY112" s="54" t="str">
        <f>IF('Final Exam'!AF$2=$A112,'Final Exam'!AF$46," ")</f>
        <v xml:space="preserve"> </v>
      </c>
      <c r="KZ112" s="54" t="str">
        <f>IF('Final Exam'!AG$1=$A112,'Final Exam'!AG$46," ")</f>
        <v xml:space="preserve"> </v>
      </c>
      <c r="LA112" s="54" t="str">
        <f>IF('Final Exam'!AG$2=$A112,'Final Exam'!AG$46," ")</f>
        <v xml:space="preserve"> </v>
      </c>
      <c r="LC112" s="180" t="str">
        <f>IF('Incomplete Final'!C$1=$A112,'Incomplete Final'!C$46," ")</f>
        <v xml:space="preserve"> </v>
      </c>
      <c r="LD112" s="180" t="str">
        <f>IF('Incomplete Final'!C$2=$A112,'Incomplete Final'!C$46," ")</f>
        <v xml:space="preserve"> </v>
      </c>
      <c r="LE112" s="180" t="str">
        <f>IF('Incomplete Final'!D$1=$A112,'Incomplete Final'!D$46," ")</f>
        <v xml:space="preserve"> </v>
      </c>
      <c r="LF112" s="180" t="str">
        <f>IF('Incomplete Final'!D$2=$A112,'Incomplete Final'!D$46," ")</f>
        <v xml:space="preserve"> </v>
      </c>
      <c r="LG112" s="180" t="str">
        <f>IF('Incomplete Final'!E$1=$A112,'Incomplete Final'!E$46," ")</f>
        <v xml:space="preserve"> </v>
      </c>
      <c r="LH112" s="180" t="str">
        <f>IF('Incomplete Final'!E$2=$A112,'Incomplete Final'!E$46," ")</f>
        <v xml:space="preserve"> </v>
      </c>
      <c r="LI112" s="180" t="str">
        <f>IF('Incomplete Final'!F$1=$A112,'Incomplete Final'!F$46," ")</f>
        <v xml:space="preserve"> </v>
      </c>
      <c r="LJ112" s="180" t="str">
        <f>IF('Incomplete Final'!F$2=$A112,'Incomplete Final'!F$46," ")</f>
        <v xml:space="preserve"> </v>
      </c>
      <c r="LK112" s="180" t="str">
        <f>IF('Incomplete Final'!G$1=$A112,'Incomplete Final'!G$46," ")</f>
        <v xml:space="preserve"> </v>
      </c>
      <c r="LL112" s="180" t="str">
        <f>IF('Incomplete Final'!G$2=$A112,'Incomplete Final'!G$46," ")</f>
        <v xml:space="preserve"> </v>
      </c>
      <c r="LM112" s="180" t="str">
        <f>IF('Incomplete Final'!H$1=$A112,'Incomplete Final'!H$46," ")</f>
        <v xml:space="preserve"> </v>
      </c>
      <c r="LN112" s="180" t="str">
        <f>IF('Incomplete Final'!H$2=$A112,'Incomplete Final'!H$46," ")</f>
        <v xml:space="preserve"> </v>
      </c>
      <c r="LO112" s="180" t="str">
        <f>IF('Incomplete Final'!I$1=$A112,'Incomplete Final'!I$46," ")</f>
        <v xml:space="preserve"> </v>
      </c>
      <c r="LP112" s="180" t="str">
        <f>IF('Incomplete Final'!I$2=$A112,'Incomplete Final'!I$46," ")</f>
        <v xml:space="preserve"> </v>
      </c>
      <c r="LQ112" s="180" t="str">
        <f>IF('Incomplete Final'!J$1=$A112,'Incomplete Final'!J$46," ")</f>
        <v xml:space="preserve"> </v>
      </c>
      <c r="LR112" s="180" t="str">
        <f>IF('Incomplete Final'!J$2=$A112,'Incomplete Final'!J$46," ")</f>
        <v xml:space="preserve"> </v>
      </c>
      <c r="LS112" s="180" t="str">
        <f>IF('Incomplete Final'!K$1=$A112,'Incomplete Final'!K$46," ")</f>
        <v xml:space="preserve"> </v>
      </c>
      <c r="LT112" s="180" t="str">
        <f>IF('Incomplete Final'!K$2=$A112,'Incomplete Final'!K$46," ")</f>
        <v xml:space="preserve"> </v>
      </c>
      <c r="LU112" s="180" t="str">
        <f>IF('Incomplete Final'!L$1=$A112,'Incomplete Final'!L$46," ")</f>
        <v xml:space="preserve"> </v>
      </c>
      <c r="LV112" s="180" t="str">
        <f>IF('Incomplete Final'!L$2=$A112,'Incomplete Final'!L$46," ")</f>
        <v xml:space="preserve"> </v>
      </c>
      <c r="LW112" s="180" t="str">
        <f>IF('Incomplete Final'!M$1=$A112,'Incomplete Final'!M$46," ")</f>
        <v xml:space="preserve"> </v>
      </c>
      <c r="LX112" s="180" t="str">
        <f>IF('Incomplete Final'!M$2=$A112,'Incomplete Final'!M$46," ")</f>
        <v xml:space="preserve"> </v>
      </c>
      <c r="LY112" s="180" t="str">
        <f>IF('Incomplete Final'!N$1=$A112,'Incomplete Final'!N$46," ")</f>
        <v xml:space="preserve"> </v>
      </c>
      <c r="LZ112" s="180" t="str">
        <f>IF('Incomplete Final'!N$2=$A112,'Incomplete Final'!N$46," ")</f>
        <v xml:space="preserve"> </v>
      </c>
      <c r="MA112" s="180" t="str">
        <f>IF('Incomplete Final'!O$1=$A112,'Incomplete Final'!O$46," ")</f>
        <v xml:space="preserve"> </v>
      </c>
      <c r="MB112" s="180" t="str">
        <f>IF('Incomplete Final'!O$2=$A112,'Incomplete Final'!AB$46," ")</f>
        <v xml:space="preserve"> </v>
      </c>
      <c r="MC112" s="180" t="str">
        <f>IF('Incomplete Final'!P$1=$A112,'Incomplete Final'!P$46," ")</f>
        <v xml:space="preserve"> </v>
      </c>
      <c r="MD112" s="180" t="str">
        <f>IF('Incomplete Final'!P$2=$A112,'Incomplete Final'!P$46," ")</f>
        <v xml:space="preserve"> </v>
      </c>
      <c r="ME112" s="180" t="str">
        <f>IF('Incomplete Final'!Q$1=$A112,'Incomplete Final'!Q$46," ")</f>
        <v xml:space="preserve"> </v>
      </c>
      <c r="MF112" s="180" t="str">
        <f>IF('Incomplete Final'!Q$2=$A112,'Incomplete Final'!Q$46," ")</f>
        <v xml:space="preserve"> </v>
      </c>
      <c r="MG112" s="180" t="str">
        <f>IF('Incomplete Final'!R$1=$A112,'Incomplete Final'!R$46," ")</f>
        <v xml:space="preserve"> </v>
      </c>
      <c r="MH112" s="180" t="str">
        <f>IF('Incomplete Final'!R$2=$A112,'Incomplete Final'!R$46," ")</f>
        <v xml:space="preserve"> </v>
      </c>
      <c r="MI112" s="180" t="str">
        <f>IF('Incomplete Final'!S$1=$A112,'Incomplete Final'!S$46," ")</f>
        <v xml:space="preserve"> </v>
      </c>
      <c r="MJ112" s="180" t="str">
        <f>IF('Incomplete Final'!S$2=$A112,'Incomplete Final'!S$46," ")</f>
        <v xml:space="preserve"> </v>
      </c>
      <c r="MK112" s="180" t="str">
        <f>IF('Incomplete Final'!T$1=$A112,'Incomplete Final'!T$46," ")</f>
        <v xml:space="preserve"> </v>
      </c>
      <c r="ML112" s="180" t="str">
        <f>IF('Incomplete Final'!T$2=$A112,'Incomplete Final'!T$46," ")</f>
        <v xml:space="preserve"> </v>
      </c>
      <c r="MM112" s="180" t="str">
        <f>IF('Incomplete Final'!U$1=$A112,'Incomplete Final'!U$46," ")</f>
        <v xml:space="preserve"> </v>
      </c>
      <c r="MN112" s="180" t="str">
        <f>IF('Incomplete Final'!U$2=$A112,'Incomplete Final'!U$46," ")</f>
        <v xml:space="preserve"> </v>
      </c>
      <c r="MO112" s="180" t="str">
        <f>IF('Incomplete Final'!V$1=$A112,'Incomplete Final'!V$46," ")</f>
        <v xml:space="preserve"> </v>
      </c>
      <c r="MP112" s="180" t="str">
        <f>IF('Incomplete Final'!V$2=$A112,'Incomplete Final'!V$46," ")</f>
        <v xml:space="preserve"> </v>
      </c>
      <c r="MQ112" s="180" t="str">
        <f>IF('Incomplete Final'!W$1=$A112,'Incomplete Final'!W$46," ")</f>
        <v xml:space="preserve"> </v>
      </c>
      <c r="MR112" s="180" t="str">
        <f>IF('Incomplete Final'!W$2=$A112,'Incomplete Final'!W$46," ")</f>
        <v xml:space="preserve"> </v>
      </c>
      <c r="MS112" s="180" t="str">
        <f>IF('Incomplete Final'!X$1=$A112,'Incomplete Final'!X$46," ")</f>
        <v xml:space="preserve"> </v>
      </c>
      <c r="MT112" s="180" t="str">
        <f>IF('Incomplete Final'!X$2=$A112,'Incomplete Final'!X$46," ")</f>
        <v xml:space="preserve"> </v>
      </c>
      <c r="MU112" s="180" t="str">
        <f>IF('Incomplete Final'!Y$1=$A112,'Incomplete Final'!Y$46," ")</f>
        <v xml:space="preserve"> </v>
      </c>
      <c r="MV112" s="180" t="str">
        <f>IF('Incomplete Final'!Y$2=$A112,'Incomplete Final'!Y$46," ")</f>
        <v xml:space="preserve"> </v>
      </c>
      <c r="MW112" s="180" t="str">
        <f>IF('Incomplete Final'!Z$1=$A112,'Incomplete Final'!Z$46," ")</f>
        <v xml:space="preserve"> </v>
      </c>
      <c r="MX112" s="180" t="str">
        <f>IF('Incomplete Final'!Z$2=$A112,'Incomplete Final'!Z$46," ")</f>
        <v xml:space="preserve"> </v>
      </c>
      <c r="MY112" s="180" t="str">
        <f>IF('Incomplete Final'!AA$1=$A112,'Incomplete Final'!AA$46," ")</f>
        <v xml:space="preserve"> </v>
      </c>
      <c r="MZ112" s="180" t="str">
        <f>IF('Incomplete Final'!AA$2=$A112,'Incomplete Final'!AA$46," ")</f>
        <v xml:space="preserve"> </v>
      </c>
      <c r="NA112" s="180" t="str">
        <f>IF('Incomplete Final'!AB$1=$A112,'Incomplete Final'!AB$46," ")</f>
        <v xml:space="preserve"> </v>
      </c>
      <c r="NB112" s="180" t="str">
        <f>IF('Incomplete Final'!AB$2=$A112,'Incomplete Final'!AB$46," ")</f>
        <v xml:space="preserve"> </v>
      </c>
      <c r="NC112" s="180" t="str">
        <f>IF('Incomplete Final'!AC$1=$A112,'Incomplete Final'!AC$46," ")</f>
        <v xml:space="preserve"> </v>
      </c>
      <c r="ND112" s="180" t="str">
        <f>IF('Incomplete Final'!AC$2=$A112,'Incomplete Final'!AC$46," ")</f>
        <v xml:space="preserve"> </v>
      </c>
      <c r="NE112" s="180" t="str">
        <f>IF('Incomplete Final'!AD$1=$A112,'Incomplete Final'!AD$46," ")</f>
        <v xml:space="preserve"> </v>
      </c>
      <c r="NF112" s="180" t="str">
        <f>IF('Incomplete Final'!AD$2=$A112,'Incomplete Final'!AD$46," ")</f>
        <v xml:space="preserve"> </v>
      </c>
      <c r="NG112" s="180" t="str">
        <f>IF('Incomplete Final'!AE$1=$A112,'Incomplete Final'!AE$46," ")</f>
        <v xml:space="preserve"> </v>
      </c>
      <c r="NH112" s="180" t="str">
        <f>IF('Incomplete Final'!AE$2=$A112,'Incomplete Final'!AE$46," ")</f>
        <v xml:space="preserve"> </v>
      </c>
      <c r="NI112" s="180" t="str">
        <f>IF('Incomplete Final'!AF$1=$A112,'Incomplete Final'!AF$46," ")</f>
        <v xml:space="preserve"> </v>
      </c>
      <c r="NJ112" s="180" t="str">
        <f>IF('Incomplete Final'!AF$2=$A112,'Incomplete Final'!AF$46," ")</f>
        <v xml:space="preserve"> </v>
      </c>
      <c r="NK112" s="180" t="str">
        <f>IF('Incomplete Final'!AG$1=$A112,'Incomplete Final'!AG$46," ")</f>
        <v xml:space="preserve"> </v>
      </c>
      <c r="NL112" s="180" t="str">
        <f>IF('Incomplete Final'!AG$2=$A112,'Incomplete Final'!AG$46," ")</f>
        <v xml:space="preserve"> </v>
      </c>
      <c r="NN112" s="53" t="str">
        <f>IF('Laboratory Final'!C$1=$A112,'Laboratory Final'!C$46," ")</f>
        <v xml:space="preserve"> </v>
      </c>
      <c r="NO112" s="53" t="str">
        <f>IF('Laboratory Final'!C$2=$A112,'Laboratory Final'!C$46," ")</f>
        <v xml:space="preserve"> </v>
      </c>
      <c r="NP112" s="53" t="str">
        <f>IF('Laboratory Final'!D$1=$A112,'Laboratory Final'!D$46," ")</f>
        <v xml:space="preserve"> </v>
      </c>
      <c r="NQ112" s="53" t="str">
        <f>IF('Laboratory Final'!D$2=$A112,'Laboratory Final'!D$46," ")</f>
        <v xml:space="preserve"> </v>
      </c>
      <c r="NR112" s="53" t="str">
        <f>IF('Laboratory Final'!E$1=$A112,'Laboratory Final'!E$46," ")</f>
        <v xml:space="preserve"> </v>
      </c>
      <c r="NS112" s="53" t="str">
        <f>IF('Laboratory Final'!E$2=$A112,'Laboratory Final'!E$46," ")</f>
        <v xml:space="preserve"> </v>
      </c>
      <c r="NT112" s="53" t="str">
        <f>IF('Laboratory Final'!F$1=$A112,'Laboratory Final'!F$46," ")</f>
        <v xml:space="preserve"> </v>
      </c>
      <c r="NU112" s="53" t="str">
        <f>IF('Laboratory Final'!F$2=$A112,'Laboratory Final'!F$46," ")</f>
        <v xml:space="preserve"> </v>
      </c>
      <c r="NV112" s="53" t="str">
        <f>IF('Laboratory Final'!G$1=$A112,'Laboratory Final'!G$46," ")</f>
        <v xml:space="preserve"> </v>
      </c>
      <c r="NW112" s="53" t="str">
        <f>IF('Laboratory Final'!G$2=$A112,'Laboratory Final'!G$46," ")</f>
        <v xml:space="preserve"> </v>
      </c>
      <c r="NX112" s="53" t="str">
        <f>IF('Laboratory Final'!H$1=$A112,'Laboratory Final'!H$46," ")</f>
        <v xml:space="preserve"> </v>
      </c>
      <c r="NY112" s="53" t="str">
        <f>IF('Laboratory Final'!H$2=$A112,'Laboratory Final'!H$46," ")</f>
        <v xml:space="preserve"> </v>
      </c>
      <c r="NZ112" s="53" t="str">
        <f>IF('Laboratory Final'!I$1=$A112,'Laboratory Final'!I$46," ")</f>
        <v xml:space="preserve"> </v>
      </c>
      <c r="OA112" s="53" t="str">
        <f>IF('Laboratory Final'!I$2=$A112,'Laboratory Final'!I$46," ")</f>
        <v xml:space="preserve"> </v>
      </c>
      <c r="OB112" s="53" t="str">
        <f>IF('Laboratory Final'!J$1=$A112,'Laboratory Final'!J$46," ")</f>
        <v xml:space="preserve"> </v>
      </c>
      <c r="OC112" s="53" t="str">
        <f>IF('Laboratory Final'!J$2=$A112,'Laboratory Final'!J$46," ")</f>
        <v xml:space="preserve"> </v>
      </c>
      <c r="OD112" s="53" t="str">
        <f>IF('Laboratory Final'!K$1=$A112,'Laboratory Final'!K$46," ")</f>
        <v xml:space="preserve"> </v>
      </c>
      <c r="OE112" s="53" t="str">
        <f>IF('Laboratory Final'!K$2=$A112,'Laboratory Final'!K$46," ")</f>
        <v xml:space="preserve"> </v>
      </c>
      <c r="OF112" s="53" t="str">
        <f>IF('Laboratory Final'!L$1=$A112,'Laboratory Final'!L$46," ")</f>
        <v xml:space="preserve"> </v>
      </c>
      <c r="OG112" s="53" t="str">
        <f>IF('Laboratory Final'!L$2=$A112,'Laboratory Final'!L$46," ")</f>
        <v xml:space="preserve"> </v>
      </c>
      <c r="OI112" s="192" t="e">
        <f t="shared" si="14"/>
        <v>#DIV/0!</v>
      </c>
    </row>
    <row r="113" spans="1:399" ht="18.75" x14ac:dyDescent="0.3">
      <c r="A113" s="48">
        <v>8</v>
      </c>
      <c r="B113" s="55">
        <f>IF(SUM(D113:LA113)=0,0,AVERAGE('Course Analysis'!D113:LA113))</f>
        <v>0</v>
      </c>
      <c r="D113" s="53" t="str">
        <f>IF(Project!C$1=$A113,Project!C$46," ")</f>
        <v xml:space="preserve"> </v>
      </c>
      <c r="E113" s="53" t="str">
        <f>IF(Project!C$2=$A113,Project!C$46," ")</f>
        <v xml:space="preserve"> </v>
      </c>
      <c r="F113" s="53" t="str">
        <f>IF(Project!D$1=$A113,Project!D$46," ")</f>
        <v xml:space="preserve"> </v>
      </c>
      <c r="G113" s="53" t="str">
        <f>IF(Project!D$2=$A113,Project!D$46," ")</f>
        <v xml:space="preserve"> </v>
      </c>
      <c r="H113" s="53" t="str">
        <f>IF(Project!E$1=$A113,Project!E$46," ")</f>
        <v xml:space="preserve"> </v>
      </c>
      <c r="I113" s="53" t="str">
        <f>IF(Project!E$2=$A113,Project!E$46," ")</f>
        <v xml:space="preserve"> </v>
      </c>
      <c r="J113" s="53" t="str">
        <f>IF(Project!F$1=$A113,Project!F$46," ")</f>
        <v xml:space="preserve"> </v>
      </c>
      <c r="K113" s="53" t="str">
        <f>IF(Project!F$2=$A113,Project!F$46," ")</f>
        <v xml:space="preserve"> </v>
      </c>
      <c r="L113" s="53" t="str">
        <f>IF(Project!G$1=$A113,Project!G$46," ")</f>
        <v xml:space="preserve"> </v>
      </c>
      <c r="M113" s="53" t="str">
        <f>IF(Project!G$2=$A113,Project!G$46," ")</f>
        <v xml:space="preserve"> </v>
      </c>
      <c r="N113" s="53" t="str">
        <f>IF(Project!H$1=$A113,Project!H$46," ")</f>
        <v xml:space="preserve"> </v>
      </c>
      <c r="O113" s="53" t="str">
        <f>IF(Project!H$2=$A113,Project!H$46," ")</f>
        <v xml:space="preserve"> </v>
      </c>
      <c r="P113" s="53" t="str">
        <f>IF(Project!I$1=$A113,Project!I$46," ")</f>
        <v xml:space="preserve"> </v>
      </c>
      <c r="Q113" s="53" t="str">
        <f>IF(Project!I$2=$A113,Project!I$46," ")</f>
        <v xml:space="preserve"> </v>
      </c>
      <c r="R113" s="53" t="str">
        <f>IF(Project!J$1=$A113,Project!J$46," ")</f>
        <v xml:space="preserve"> </v>
      </c>
      <c r="S113" s="53" t="str">
        <f>IF(Project!J$2=$A113,Project!J$46," ")</f>
        <v xml:space="preserve"> </v>
      </c>
      <c r="T113" s="53" t="str">
        <f>IF(Project!K$1=$A113,Project!K$46," ")</f>
        <v xml:space="preserve"> </v>
      </c>
      <c r="U113" s="53" t="str">
        <f>IF(Project!K$2=$A113,Project!K$46," ")</f>
        <v xml:space="preserve"> </v>
      </c>
      <c r="V113" s="53" t="str">
        <f>IF(Project!L$1=$A113,Project!L$46," ")</f>
        <v xml:space="preserve"> </v>
      </c>
      <c r="W113" s="53" t="str">
        <f>IF(Project!L$2=$A113,Project!L$46," ")</f>
        <v xml:space="preserve"> </v>
      </c>
      <c r="Y113" s="53" t="str">
        <f>IF(Homework!C$1=$A113,Homework!C$46," ")</f>
        <v xml:space="preserve"> </v>
      </c>
      <c r="Z113" s="53" t="str">
        <f>IF(Homework!C$2=$A113,Homework!C$46," ")</f>
        <v xml:space="preserve"> </v>
      </c>
      <c r="AA113" s="53" t="str">
        <f>IF(Homework!D$1=$A113,Homework!D$46," ")</f>
        <v xml:space="preserve"> </v>
      </c>
      <c r="AB113" s="53" t="str">
        <f>IF(Homework!D$2=$A113,Homework!D$46," ")</f>
        <v xml:space="preserve"> </v>
      </c>
      <c r="AC113" s="53" t="str">
        <f>IF(Homework!E$1=$A113,Homework!E$46," ")</f>
        <v xml:space="preserve"> </v>
      </c>
      <c r="AD113" s="53" t="str">
        <f>IF(Homework!E$2=$A113,Homework!E$46," ")</f>
        <v xml:space="preserve"> </v>
      </c>
      <c r="AE113" s="53" t="str">
        <f>IF(Homework!F$1=$A113,Homework!F$46," ")</f>
        <v xml:space="preserve"> </v>
      </c>
      <c r="AF113" s="53" t="str">
        <f>IF(Homework!F$2=$A113,Homework!F$46," ")</f>
        <v xml:space="preserve"> </v>
      </c>
      <c r="AG113" s="53" t="str">
        <f>IF(Homework!G$1=$A113,Homework!G$46," ")</f>
        <v xml:space="preserve"> </v>
      </c>
      <c r="AH113" s="53" t="str">
        <f>IF(Homework!G$2=$A113,Homework!G$46," ")</f>
        <v xml:space="preserve"> </v>
      </c>
      <c r="AI113" s="53" t="str">
        <f>IF(Homework!H$1=$A113,Homework!H$46," ")</f>
        <v xml:space="preserve"> </v>
      </c>
      <c r="AJ113" s="53" t="str">
        <f>IF(Homework!H$2=$A113,Homework!H$46," ")</f>
        <v xml:space="preserve"> </v>
      </c>
      <c r="AK113" s="53" t="str">
        <f>IF(Homework!I$1=$A113,Homework!I$46," ")</f>
        <v xml:space="preserve"> </v>
      </c>
      <c r="AL113" s="53" t="str">
        <f>IF(Homework!I$2=$A113,Homework!I$46," ")</f>
        <v xml:space="preserve"> </v>
      </c>
      <c r="AM113" s="53" t="str">
        <f>IF(Homework!J$1=$A113,Homework!J$46," ")</f>
        <v xml:space="preserve"> </v>
      </c>
      <c r="AN113" s="53" t="str">
        <f>IF(Homework!J$2=$A113,Homework!J$46," ")</f>
        <v xml:space="preserve"> </v>
      </c>
      <c r="AO113" s="53" t="str">
        <f>IF(Homework!K$1=$A113,Homework!K$46," ")</f>
        <v xml:space="preserve"> </v>
      </c>
      <c r="AP113" s="53" t="str">
        <f>IF(Homework!K$2=$A113,Homework!K$46," ")</f>
        <v xml:space="preserve"> </v>
      </c>
      <c r="AQ113" s="53" t="str">
        <f>IF(Homework!L$1=$A113,Homework!L$46," ")</f>
        <v xml:space="preserve"> </v>
      </c>
      <c r="AR113" s="53" t="str">
        <f>IF(Homework!L$2=$A113,Homework!L$46," ")</f>
        <v xml:space="preserve"> </v>
      </c>
      <c r="AS113" s="53" t="str">
        <f>IF(Homework!M$1=$A113,Homework!M$46," ")</f>
        <v xml:space="preserve"> </v>
      </c>
      <c r="AT113" s="53" t="str">
        <f>IF(Homework!M$2=$A113,Homework!M$46," ")</f>
        <v xml:space="preserve"> </v>
      </c>
      <c r="AU113" s="53" t="str">
        <f>IF(Homework!N$1=$A113,Homework!N$46," ")</f>
        <v xml:space="preserve"> </v>
      </c>
      <c r="AV113" s="53" t="str">
        <f>IF(Homework!N$2=$A113,Homework!N$46," ")</f>
        <v xml:space="preserve"> </v>
      </c>
      <c r="AW113" s="53" t="str">
        <f>IF(Homework!O$1=$A113,Homework!O$46," ")</f>
        <v xml:space="preserve"> </v>
      </c>
      <c r="AX113" s="53" t="str">
        <f>IF(Homework!O$2=$A113,Homework!O$46," ")</f>
        <v xml:space="preserve"> </v>
      </c>
      <c r="AY113" s="53" t="str">
        <f>IF(Homework!P$1=$A113,Homework!P$46," ")</f>
        <v xml:space="preserve"> </v>
      </c>
      <c r="AZ113" s="53" t="str">
        <f>IF(Homework!P$2=$A113,Homework!P$46," ")</f>
        <v xml:space="preserve"> </v>
      </c>
      <c r="BA113" s="53" t="str">
        <f>IF(Homework!Q$1=$A113,Homework!Q$46," ")</f>
        <v xml:space="preserve"> </v>
      </c>
      <c r="BB113" s="53" t="str">
        <f>IF(Homework!Q$2=$A113,Homework!Q$46," ")</f>
        <v xml:space="preserve"> </v>
      </c>
      <c r="BC113" s="53" t="str">
        <f>IF(Homework!R$1=$A113,Homework!R$46," ")</f>
        <v xml:space="preserve"> </v>
      </c>
      <c r="BD113" s="53" t="str">
        <f>IF(Homework!R$2=$A113,Homework!R$46," ")</f>
        <v xml:space="preserve"> </v>
      </c>
      <c r="BE113" s="53" t="str">
        <f>IF(Homework!S$1=$A113,Homework!S$46," ")</f>
        <v xml:space="preserve"> </v>
      </c>
      <c r="BF113" s="53" t="str">
        <f>IF(Homework!S$2=$A113,Homework!S$46," ")</f>
        <v xml:space="preserve"> </v>
      </c>
      <c r="BG113" s="53" t="str">
        <f>IF(Homework!T$1=$A113,Homework!T$46," ")</f>
        <v xml:space="preserve"> </v>
      </c>
      <c r="BH113" s="53" t="str">
        <f>IF(Homework!T$2=$A113,Homework!T$46," ")</f>
        <v xml:space="preserve"> </v>
      </c>
      <c r="BI113" s="53" t="str">
        <f>IF(Homework!U$1=$A113,Homework!U$46," ")</f>
        <v xml:space="preserve"> </v>
      </c>
      <c r="BJ113" s="53" t="str">
        <f>IF(Homework!U$2=$A113,Homework!U$46," ")</f>
        <v xml:space="preserve"> </v>
      </c>
      <c r="BK113" s="53" t="str">
        <f>IF(Homework!V$1=$A113,Homework!V$46," ")</f>
        <v xml:space="preserve"> </v>
      </c>
      <c r="BL113" s="53" t="str">
        <f>IF(Homework!V$2=$A113,Homework!V$46," ")</f>
        <v xml:space="preserve"> </v>
      </c>
      <c r="BN113" s="66" t="str">
        <f>IF(Laboratory!C$1=$A113,Laboratory!C$46," ")</f>
        <v xml:space="preserve"> </v>
      </c>
      <c r="BO113" s="66" t="str">
        <f>IF(Laboratory!C$2=$A113,Laboratory!C$46," ")</f>
        <v xml:space="preserve"> </v>
      </c>
      <c r="BP113" s="66" t="str">
        <f>IF(Laboratory!D$1=$A113,Laboratory!D$46," ")</f>
        <v xml:space="preserve"> </v>
      </c>
      <c r="BQ113" s="66" t="str">
        <f>IF(Laboratory!D$2=$A113,Laboratory!D$46," ")</f>
        <v xml:space="preserve"> </v>
      </c>
      <c r="BR113" s="66" t="str">
        <f>IF(Laboratory!E$1=$A113,Laboratory!E$46," ")</f>
        <v xml:space="preserve"> </v>
      </c>
      <c r="BS113" s="66" t="str">
        <f>IF(Laboratory!E$2=$A113,Laboratory!E$46," ")</f>
        <v xml:space="preserve"> </v>
      </c>
      <c r="BT113" s="66" t="str">
        <f>IF(Laboratory!F$1=$A113,Laboratory!F$46," ")</f>
        <v xml:space="preserve"> </v>
      </c>
      <c r="BU113" s="66" t="str">
        <f>IF(Laboratory!F$2=$A113,Laboratory!F$46," ")</f>
        <v xml:space="preserve"> </v>
      </c>
      <c r="BV113" s="66" t="str">
        <f>IF(Laboratory!G$1=$A113,Laboratory!G$46," ")</f>
        <v xml:space="preserve"> </v>
      </c>
      <c r="BW113" s="66" t="str">
        <f>IF(Laboratory!G$2=$A113,Laboratory!G$46," ")</f>
        <v xml:space="preserve"> </v>
      </c>
      <c r="BX113" s="66" t="str">
        <f>IF(Laboratory!H$1=$A113,Laboratory!H$46," ")</f>
        <v xml:space="preserve"> </v>
      </c>
      <c r="BY113" s="66" t="str">
        <f>IF(Laboratory!H$2=$A113,Laboratory!H$46," ")</f>
        <v xml:space="preserve"> </v>
      </c>
      <c r="BZ113" s="66"/>
      <c r="CA113" s="66" t="str">
        <f>IF(Laboratory!I$2=$A113,Laboratory!I$46," ")</f>
        <v xml:space="preserve"> </v>
      </c>
      <c r="CB113" s="66"/>
      <c r="CC113" s="66" t="str">
        <f>IF(Laboratory!J$2=$A113,Laboratory!J$46," ")</f>
        <v xml:space="preserve"> </v>
      </c>
      <c r="CD113" s="66" t="str">
        <f>IF(Laboratory!K$1=$A113,Laboratory!K$46," ")</f>
        <v xml:space="preserve"> </v>
      </c>
      <c r="CE113" s="66" t="str">
        <f>IF(Laboratory!K$2=$A113,Laboratory!K$46," ")</f>
        <v xml:space="preserve"> </v>
      </c>
      <c r="CF113" s="66" t="str">
        <f>IF(Laboratory!L$1=$A113,Laboratory!L$46," ")</f>
        <v xml:space="preserve"> </v>
      </c>
      <c r="CG113" s="66" t="str">
        <f>IF(Laboratory!L$2=$A113,Laboratory!L$46," ")</f>
        <v xml:space="preserve"> </v>
      </c>
      <c r="CH113" s="66" t="str">
        <f>IF(Laboratory!M$1=$A113,Laboratory!M$46," ")</f>
        <v xml:space="preserve"> </v>
      </c>
      <c r="CI113" s="66" t="str">
        <f>IF(Laboratory!M$2=$A113,Laboratory!M$46," ")</f>
        <v xml:space="preserve"> </v>
      </c>
      <c r="CJ113" s="66" t="str">
        <f>IF(Laboratory!N$1=$A113,Laboratory!N$46," ")</f>
        <v xml:space="preserve"> </v>
      </c>
      <c r="CK113" s="66" t="str">
        <f>IF(Laboratory!N$2=$A113,Laboratory!N$46," ")</f>
        <v xml:space="preserve"> </v>
      </c>
      <c r="CL113" s="66" t="str">
        <f>IF(Laboratory!O$1=$A113,Laboratory!O$46," ")</f>
        <v xml:space="preserve"> </v>
      </c>
      <c r="CM113" s="66" t="str">
        <f>IF(Laboratory!O$2=$A113,Laboratory!O$46," ")</f>
        <v xml:space="preserve"> </v>
      </c>
      <c r="CN113" s="66" t="str">
        <f>IF(Laboratory!P$1=$A113,Laboratory!P$46," ")</f>
        <v xml:space="preserve"> </v>
      </c>
      <c r="CO113" s="66" t="str">
        <f>IF(Laboratory!P$2=$A113,Laboratory!P$46," ")</f>
        <v xml:space="preserve"> </v>
      </c>
      <c r="CQ113" s="52" t="str">
        <f>IF(Quizzes!C$1=$A113,Quizzes!C$46," ")</f>
        <v xml:space="preserve"> </v>
      </c>
      <c r="CR113" s="52" t="str">
        <f>IF(Quizzes!C$2=$A113,Quizzes!C$46," ")</f>
        <v xml:space="preserve"> </v>
      </c>
      <c r="CS113" s="52" t="str">
        <f>IF(Quizzes!D$1=$A113,Quizzes!D$46," ")</f>
        <v xml:space="preserve"> </v>
      </c>
      <c r="CT113" s="52" t="str">
        <f>IF(Quizzes!D$2=$A113,Quizzes!D$46," ")</f>
        <v xml:space="preserve"> </v>
      </c>
      <c r="CU113" s="52" t="str">
        <f>IF(Quizzes!E$1=$A113,Quizzes!E$46," ")</f>
        <v xml:space="preserve"> </v>
      </c>
      <c r="CV113" s="52" t="str">
        <f>IF(Quizzes!E$2=$A113,Quizzes!E$46," ")</f>
        <v xml:space="preserve"> </v>
      </c>
      <c r="CW113" s="52" t="str">
        <f>IF(Quizzes!F$1=$A113,Quizzes!F$46," ")</f>
        <v xml:space="preserve"> </v>
      </c>
      <c r="CX113" s="52" t="str">
        <f>IF(Quizzes!F$2=$A113,Quizzes!F$46," ")</f>
        <v xml:space="preserve"> </v>
      </c>
      <c r="CY113" s="52" t="str">
        <f>IF(Quizzes!G$1=$A113,Quizzes!G$46," ")</f>
        <v xml:space="preserve"> </v>
      </c>
      <c r="CZ113" s="52" t="str">
        <f>IF(Quizzes!G$2=$A113,Quizzes!G$46," ")</f>
        <v xml:space="preserve"> </v>
      </c>
      <c r="DA113" s="52" t="str">
        <f>IF(Quizzes!H$1=$A113,Quizzes!H$46," ")</f>
        <v xml:space="preserve"> </v>
      </c>
      <c r="DB113" s="52" t="str">
        <f>IF(Quizzes!H$2=$A113,Quizzes!H$46," ")</f>
        <v xml:space="preserve"> </v>
      </c>
      <c r="DC113" s="52" t="str">
        <f>IF(Quizzes!I$1=$A113,Quizzes!I$46," ")</f>
        <v xml:space="preserve"> </v>
      </c>
      <c r="DD113" s="52" t="str">
        <f>IF(Quizzes!I$2=$A113,Quizzes!I$46," ")</f>
        <v xml:space="preserve"> </v>
      </c>
      <c r="DE113" s="52" t="str">
        <f>IF(Quizzes!J$1=$A113,Quizzes!J$46," ")</f>
        <v xml:space="preserve"> </v>
      </c>
      <c r="DF113" s="52" t="str">
        <f>IF(Quizzes!J$2=$A113,Quizzes!J$46," ")</f>
        <v xml:space="preserve"> </v>
      </c>
      <c r="DG113" s="52" t="str">
        <f>IF(Quizzes!K$1=$A113,Quizzes!K$46," ")</f>
        <v xml:space="preserve"> </v>
      </c>
      <c r="DH113" s="52" t="str">
        <f>IF(Quizzes!K$2=$A113,Quizzes!K$46," ")</f>
        <v xml:space="preserve"> </v>
      </c>
      <c r="DI113" s="52" t="str">
        <f>IF(Quizzes!L$1=$A113,Quizzes!L$46," ")</f>
        <v xml:space="preserve"> </v>
      </c>
      <c r="DJ113" s="52" t="str">
        <f>IF(Quizzes!L$2=$A113,Quizzes!L$46," ")</f>
        <v xml:space="preserve"> </v>
      </c>
      <c r="DK113" s="52" t="str">
        <f>IF(Quizzes!M$1=$A113,Quizzes!M$46," ")</f>
        <v xml:space="preserve"> </v>
      </c>
      <c r="DL113" s="52" t="str">
        <f>IF(Quizzes!M$2=$A113,Quizzes!M$46," ")</f>
        <v xml:space="preserve"> </v>
      </c>
      <c r="DM113" s="52" t="str">
        <f>IF(Quizzes!N$1=$A113,Quizzes!N$46," ")</f>
        <v xml:space="preserve"> </v>
      </c>
      <c r="DN113" s="52" t="str">
        <f>IF(Quizzes!N$2=$A113,Quizzes!N$46," ")</f>
        <v xml:space="preserve"> </v>
      </c>
      <c r="DO113" s="52" t="str">
        <f>IF(Quizzes!O$1=$A113,Quizzes!O$46," ")</f>
        <v xml:space="preserve"> </v>
      </c>
      <c r="DP113" s="52" t="str">
        <f>IF(Quizzes!O$2=$A113,Quizzes!O$46," ")</f>
        <v xml:space="preserve"> </v>
      </c>
      <c r="DQ113" s="52" t="str">
        <f>IF(Quizzes!P$1=$A113,Quizzes!P$46," ")</f>
        <v xml:space="preserve"> </v>
      </c>
      <c r="DR113" s="52" t="str">
        <f>IF(Quizzes!P$2=$A113,Quizzes!P$46," ")</f>
        <v xml:space="preserve"> </v>
      </c>
      <c r="DS113" s="52" t="str">
        <f>IF(Quizzes!Q$1=$A113,Quizzes!Q$46," ")</f>
        <v xml:space="preserve"> </v>
      </c>
      <c r="DT113" s="52" t="str">
        <f>IF(Quizzes!Q$1=$A113,Quizzes!Q$46," ")</f>
        <v xml:space="preserve"> </v>
      </c>
      <c r="DV113" s="25" t="str">
        <f>IF('Midterm 1'!C$1=$A113,'Midterm 1'!C$47," ")</f>
        <v xml:space="preserve"> </v>
      </c>
      <c r="DW113" s="25" t="str">
        <f>IF('Midterm 1'!C$2=$A113,'Midterm 1'!C$47," ")</f>
        <v xml:space="preserve"> </v>
      </c>
      <c r="DX113" s="25" t="str">
        <f>IF('Midterm 1'!D$1=$A113,'Midterm 1'!D$47," ")</f>
        <v xml:space="preserve"> </v>
      </c>
      <c r="DY113" s="25" t="str">
        <f>IF('Midterm 1'!D$2=$A113,'Midterm 1'!D$47," ")</f>
        <v xml:space="preserve"> </v>
      </c>
      <c r="DZ113" s="25" t="str">
        <f>IF('Midterm 1'!E$1=$A113,'Midterm 1'!E$47," ")</f>
        <v xml:space="preserve"> </v>
      </c>
      <c r="EA113" s="25" t="str">
        <f>IF('Midterm 1'!E$2=$A113,'Midterm 1'!E$47," ")</f>
        <v xml:space="preserve"> </v>
      </c>
      <c r="EB113" s="25" t="str">
        <f>IF('Midterm 1'!F$1=$A113,'Midterm 1'!F$47," ")</f>
        <v xml:space="preserve"> </v>
      </c>
      <c r="EC113" s="25" t="str">
        <f>IF('Midterm 1'!F$2=$A113,'Midterm 1'!F$47," ")</f>
        <v xml:space="preserve"> </v>
      </c>
      <c r="ED113" s="25" t="str">
        <f>IF('Midterm 1'!G$1=$A113,'Midterm 1'!G$47," ")</f>
        <v xml:space="preserve"> </v>
      </c>
      <c r="EE113" s="25" t="str">
        <f>IF('Midterm 1'!G$2=$A113,'Midterm 1'!G$47," ")</f>
        <v xml:space="preserve"> </v>
      </c>
      <c r="EF113" s="25" t="str">
        <f>IF('Midterm 1'!H$1=$A113,'Midterm 1'!I$47," ")</f>
        <v xml:space="preserve"> </v>
      </c>
      <c r="EG113" s="25" t="str">
        <f>IF('Midterm 1'!H$2=$A113,'Midterm 1'!H$47," ")</f>
        <v xml:space="preserve"> </v>
      </c>
      <c r="EH113" s="25" t="str">
        <f>IF('Midterm 1'!I$1=$A113,'Midterm 1'!I$47," ")</f>
        <v xml:space="preserve"> </v>
      </c>
      <c r="EI113" s="25" t="str">
        <f>IF('Midterm 1'!I$2=$A113,'Midterm 1'!I$47," ")</f>
        <v xml:space="preserve"> </v>
      </c>
      <c r="EJ113" s="25" t="str">
        <f>IF('Midterm 1'!J$1=$A113,'Midterm 1'!J$47," ")</f>
        <v xml:space="preserve"> </v>
      </c>
      <c r="EK113" s="25" t="str">
        <f>IF('Midterm 1'!J$2=$A113,'Midterm 1'!J$47," ")</f>
        <v xml:space="preserve"> </v>
      </c>
      <c r="EL113" s="25" t="str">
        <f>IF('Midterm 1'!K$1=$A113,'Midterm 1'!K$47," ")</f>
        <v xml:space="preserve"> </v>
      </c>
      <c r="EM113" s="25" t="str">
        <f>IF('Midterm 1'!K$2=$A113,'Midterm 1'!K$47," ")</f>
        <v xml:space="preserve"> </v>
      </c>
      <c r="EN113" s="25" t="str">
        <f>IF('Midterm 1'!L$1=$A113,'Midterm 1'!L$47," ")</f>
        <v xml:space="preserve"> </v>
      </c>
      <c r="EO113" s="25" t="str">
        <f>IF('Midterm 1'!L$2=$A113,'Midterm 1'!L$47," ")</f>
        <v xml:space="preserve"> </v>
      </c>
      <c r="EP113" s="25" t="str">
        <f>IF('Midterm 1'!M$1=$A113,'Midterm 1'!M$47," ")</f>
        <v xml:space="preserve"> </v>
      </c>
      <c r="EQ113" s="25" t="str">
        <f>IF('Midterm 1'!M$2=$A113,'Midterm 1'!M$47," ")</f>
        <v xml:space="preserve"> </v>
      </c>
      <c r="ER113" s="25" t="str">
        <f>IF('Midterm 1'!N$1=$A113,'Midterm 1'!N$47," ")</f>
        <v xml:space="preserve"> </v>
      </c>
      <c r="ES113" s="25" t="str">
        <f>IF('Midterm 1'!N$2=$A113,'Midterm 1'!N$47," ")</f>
        <v xml:space="preserve"> </v>
      </c>
      <c r="ET113" s="25" t="str">
        <f>IF('Midterm 1'!O$1=$A113,'Midterm 1'!O$47," ")</f>
        <v xml:space="preserve"> </v>
      </c>
      <c r="EU113" s="25" t="str">
        <f>IF('Midterm 1'!O$2=$A113,'Midterm 1'!O$47," ")</f>
        <v xml:space="preserve"> </v>
      </c>
      <c r="EV113" s="25" t="str">
        <f>IF('Midterm 1'!P$1=$A113,'Midterm 1'!P$47," ")</f>
        <v xml:space="preserve"> </v>
      </c>
      <c r="EW113" s="25" t="str">
        <f>IF('Midterm 1'!P$2=$A113,'Midterm 1'!P$47," ")</f>
        <v xml:space="preserve"> </v>
      </c>
      <c r="EX113" s="25" t="str">
        <f>IF('Midterm 1'!Q$1=$A113,'Midterm 1'!Q$47," ")</f>
        <v xml:space="preserve"> </v>
      </c>
      <c r="EY113" s="25" t="str">
        <f>IF('Midterm 1'!Q$2=$A113,'Midterm 1'!Q$47," ")</f>
        <v xml:space="preserve"> </v>
      </c>
      <c r="EZ113" s="25" t="str">
        <f>IF('Midterm 1'!R$1=$A113,'Midterm 1'!R$47," ")</f>
        <v xml:space="preserve"> </v>
      </c>
      <c r="FA113" s="25" t="str">
        <f>IF('Midterm 1'!R$2=$A113,'Midterm 1'!R$47," ")</f>
        <v xml:space="preserve"> </v>
      </c>
      <c r="FB113" s="25" t="str">
        <f>IF('Midterm 1'!S$1=$A113,'Midterm 1'!S$47," ")</f>
        <v xml:space="preserve"> </v>
      </c>
      <c r="FC113" s="25" t="str">
        <f>IF('Midterm 1'!S$2=$A113,'Midterm 1'!S$47," ")</f>
        <v xml:space="preserve"> </v>
      </c>
      <c r="FD113" s="25" t="str">
        <f>IF('Midterm 1'!T$1=$A113,'Midterm 1'!T$47," ")</f>
        <v xml:space="preserve"> </v>
      </c>
      <c r="FE113" s="25" t="str">
        <f>IF('Midterm 1'!T$2=$A113,'Midterm 1'!T$47," ")</f>
        <v xml:space="preserve"> </v>
      </c>
      <c r="FF113" s="25" t="str">
        <f>IF('Midterm 1'!U$1=$A113,'Midterm 1'!U$47," ")</f>
        <v xml:space="preserve"> </v>
      </c>
      <c r="FG113" s="25" t="str">
        <f>IF('Midterm 1'!U$2=$A113,'Midterm 1'!U$47," ")</f>
        <v xml:space="preserve"> </v>
      </c>
      <c r="FH113" s="25" t="str">
        <f>IF('Midterm 1'!V$1=$A113,'Midterm 1'!V$47," ")</f>
        <v xml:space="preserve"> </v>
      </c>
      <c r="FI113" s="25" t="str">
        <f>IF('Midterm 1'!V$2=$A113,'Midterm 1'!V$47," ")</f>
        <v xml:space="preserve"> </v>
      </c>
      <c r="FJ113" s="25" t="str">
        <f>IF('Midterm 1'!W$1=$A113,'Midterm 1'!W$47," ")</f>
        <v xml:space="preserve"> </v>
      </c>
      <c r="FK113" s="25" t="str">
        <f>IF('Midterm 1'!W$2=$A113,'Midterm 1'!W$47," ")</f>
        <v xml:space="preserve"> </v>
      </c>
      <c r="FL113" s="25" t="str">
        <f>IF('Midterm 1'!X$1=$A113,'Midterm 1'!X$47," ")</f>
        <v xml:space="preserve"> </v>
      </c>
      <c r="FM113" s="25" t="str">
        <f>IF('Midterm 1'!X$2=$A113,'Midterm 1'!X$47," ")</f>
        <v xml:space="preserve"> </v>
      </c>
      <c r="FN113" s="25" t="str">
        <f>IF('Midterm 1'!Y$1=$A113,'Midterm 1'!Y$47," ")</f>
        <v xml:space="preserve"> </v>
      </c>
      <c r="FO113" s="25" t="str">
        <f>IF('Midterm 1'!Y$2=$A113,'Midterm 1'!Y$47," ")</f>
        <v xml:space="preserve"> </v>
      </c>
      <c r="FP113" s="25" t="str">
        <f>IF('Midterm 1'!Z$1=$A113,'Midterm 1'!Z$47," ")</f>
        <v xml:space="preserve"> </v>
      </c>
      <c r="FQ113" s="25" t="str">
        <f>IF('Midterm 1'!Z$2=$A113,'Midterm 1'!Z$47," ")</f>
        <v xml:space="preserve"> </v>
      </c>
      <c r="FR113" s="25" t="str">
        <f>IF('Midterm 1'!AA$1=$A113,'Midterm 1'!AA$47," ")</f>
        <v xml:space="preserve"> </v>
      </c>
      <c r="FS113" s="25" t="str">
        <f>IF('Midterm 1'!AA$2=$A113,'Midterm 1'!AA$47," ")</f>
        <v xml:space="preserve"> </v>
      </c>
      <c r="FT113" s="25" t="str">
        <f>IF('Midterm 1'!AB$1=$A113,'Midterm 1'!AB$47," ")</f>
        <v xml:space="preserve"> </v>
      </c>
      <c r="FU113" s="25" t="str">
        <f>IF('Midterm 1'!AB$2=$A113,'Midterm 1'!AB$47," ")</f>
        <v xml:space="preserve"> </v>
      </c>
      <c r="FV113" s="25" t="str">
        <f>IF('Midterm 1'!AC$1=$A113,'Midterm 1'!AC$47," ")</f>
        <v xml:space="preserve"> </v>
      </c>
      <c r="FW113" s="25" t="str">
        <f>IF('Midterm 1'!AC$2=$A113,'Midterm 1'!AC$47," ")</f>
        <v xml:space="preserve"> </v>
      </c>
      <c r="FX113" s="25" t="str">
        <f>IF('Midterm 1'!AD$1=$A113,'Midterm 1'!AD$47," ")</f>
        <v xml:space="preserve"> </v>
      </c>
      <c r="FY113" s="25" t="str">
        <f>IF('Midterm 1'!AD$2=$A113,'Midterm 1'!AD$47," ")</f>
        <v xml:space="preserve"> </v>
      </c>
      <c r="FZ113" s="25" t="str">
        <f>IF('Midterm 1'!AE$1=$A113,'Midterm 1'!AE$47," ")</f>
        <v xml:space="preserve"> </v>
      </c>
      <c r="GA113" s="25" t="str">
        <f>IF('Midterm 1'!AE$2=$A113,'Midterm 1'!AE$47," ")</f>
        <v xml:space="preserve"> </v>
      </c>
      <c r="GB113" s="25" t="str">
        <f>IF('Midterm 1'!AF$1=$A113,'Midterm 1'!AF$47," ")</f>
        <v xml:space="preserve"> </v>
      </c>
      <c r="GC113" s="25" t="str">
        <f>IF('Midterm 1'!AF$2=$A113,'Midterm 1'!AF$47," ")</f>
        <v xml:space="preserve"> </v>
      </c>
      <c r="GE113" s="25" t="str">
        <f>IF('Midterm 2'!C$1=$A113,'Midterm 2'!C$47," ")</f>
        <v xml:space="preserve"> </v>
      </c>
      <c r="GF113" s="25" t="str">
        <f>IF('Midterm 2'!C$2=$A113,'Midterm 2'!C$47," ")</f>
        <v xml:space="preserve"> </v>
      </c>
      <c r="GG113" s="25" t="str">
        <f>IF('Midterm 2'!D$1=$A113,'Midterm 2'!D$47," ")</f>
        <v xml:space="preserve"> </v>
      </c>
      <c r="GH113" s="25" t="str">
        <f>IF('Midterm 2'!D$2=$A113,'Midterm 2'!D$47," ")</f>
        <v xml:space="preserve"> </v>
      </c>
      <c r="GI113" s="25" t="str">
        <f>IF('Midterm 2'!E$1=$A113,'Midterm 2'!E$47," ")</f>
        <v xml:space="preserve"> </v>
      </c>
      <c r="GJ113" s="25" t="str">
        <f>IF('Midterm 2'!E$2=$A113,'Midterm 2'!E$47," ")</f>
        <v xml:space="preserve"> </v>
      </c>
      <c r="GK113" s="25" t="str">
        <f>IF('Midterm 2'!F$1=$A113,'Midterm 2'!F$47," ")</f>
        <v xml:space="preserve"> </v>
      </c>
      <c r="GL113" s="25" t="str">
        <f>IF('Midterm 2'!F$2=$A113,'Midterm 2'!F$47," ")</f>
        <v xml:space="preserve"> </v>
      </c>
      <c r="GM113" s="25" t="str">
        <f>IF('Midterm 2'!G$1=$A113,'Midterm 2'!G$47," ")</f>
        <v xml:space="preserve"> </v>
      </c>
      <c r="GN113" s="25" t="str">
        <f>IF('Midterm 2'!G$2=$A113,'Midterm 2'!G$47," ")</f>
        <v xml:space="preserve"> </v>
      </c>
      <c r="GO113" s="25" t="str">
        <f>IF('Midterm 2'!H$1=$A113,'Midterm 2'!H$47," ")</f>
        <v xml:space="preserve"> </v>
      </c>
      <c r="GP113" s="25" t="str">
        <f>IF('Midterm 2'!H$2=$A113,'Midterm 2'!H$47," ")</f>
        <v xml:space="preserve"> </v>
      </c>
      <c r="GQ113" s="25" t="str">
        <f>IF('Midterm 2'!I$1=$A113,'Midterm 2'!I$47," ")</f>
        <v xml:space="preserve"> </v>
      </c>
      <c r="GR113" s="25" t="str">
        <f>IF('Midterm 2'!I$2=$A113,'Midterm 2'!I$47," ")</f>
        <v xml:space="preserve"> </v>
      </c>
      <c r="GS113" s="25" t="str">
        <f>IF('Midterm 2'!J$1=$A113,'Midterm 2'!J$47," ")</f>
        <v xml:space="preserve"> </v>
      </c>
      <c r="GT113" s="25" t="str">
        <f>IF('Midterm 2'!J$2=$A113,'Midterm 2'!J$47," ")</f>
        <v xml:space="preserve"> </v>
      </c>
      <c r="GU113" s="25" t="str">
        <f>IF('Midterm 2'!K$1=$A113,'Midterm 2'!K$47," ")</f>
        <v xml:space="preserve"> </v>
      </c>
      <c r="GV113" s="25" t="str">
        <f>IF('Midterm 2'!K$2=$A113,'Midterm 2'!K$47," ")</f>
        <v xml:space="preserve"> </v>
      </c>
      <c r="GW113" s="25" t="str">
        <f>IF('Midterm 2'!L$1=$A113,'Midterm 2'!L$47," ")</f>
        <v xml:space="preserve"> </v>
      </c>
      <c r="GX113" s="25" t="str">
        <f>IF('Midterm 2'!L$2=$A113,'Midterm 2'!L$47," ")</f>
        <v xml:space="preserve"> </v>
      </c>
      <c r="GY113" s="25" t="str">
        <f>IF('Midterm 2'!M$1=$A113,'Midterm 2'!M$47," ")</f>
        <v xml:space="preserve"> </v>
      </c>
      <c r="GZ113" s="25" t="str">
        <f>IF('Midterm 2'!M$2=$A113,'Midterm 2'!M$47," ")</f>
        <v xml:space="preserve"> </v>
      </c>
      <c r="HA113" s="25" t="str">
        <f>IF('Midterm 2'!N$1=$A113,'Midterm 2'!N$47," ")</f>
        <v xml:space="preserve"> </v>
      </c>
      <c r="HB113" s="25" t="str">
        <f>IF('Midterm 2'!N$2=$A113,'Midterm 2'!N$47," ")</f>
        <v xml:space="preserve"> </v>
      </c>
      <c r="HC113" s="25" t="str">
        <f>IF('Midterm 2'!O$1=$A113,'Midterm 2'!O$47," ")</f>
        <v xml:space="preserve"> </v>
      </c>
      <c r="HD113" s="25" t="str">
        <f>IF('Midterm 2'!O$2=$A113,'Midterm 2'!O$47," ")</f>
        <v xml:space="preserve"> </v>
      </c>
      <c r="HE113" s="25" t="str">
        <f>IF('Midterm 2'!P$1=$A113,'Midterm 2'!P$47," ")</f>
        <v xml:space="preserve"> </v>
      </c>
      <c r="HF113" s="25" t="str">
        <f>IF('Midterm 2'!P$2=$A113,'Midterm 2'!P$47," ")</f>
        <v xml:space="preserve"> </v>
      </c>
      <c r="HG113" s="25" t="str">
        <f>IF('Midterm 2'!Q$1=$A113,'Midterm 2'!Q$47," ")</f>
        <v xml:space="preserve"> </v>
      </c>
      <c r="HH113" s="25" t="str">
        <f>IF('Midterm 2'!Q$2=$A113,'Midterm 2'!Q$47," ")</f>
        <v xml:space="preserve"> </v>
      </c>
      <c r="HI113" s="25" t="str">
        <f>IF('Midterm 2'!R$1=$A113,'Midterm 2'!R$47," ")</f>
        <v xml:space="preserve"> </v>
      </c>
      <c r="HJ113" s="25" t="str">
        <f>IF('Midterm 2'!R$2=$A113,'Midterm 2'!R$47," ")</f>
        <v xml:space="preserve"> </v>
      </c>
      <c r="HK113" s="25" t="str">
        <f>IF('Midterm 2'!S$1=$A113,'Midterm 2'!S$47," ")</f>
        <v xml:space="preserve"> </v>
      </c>
      <c r="HL113" s="25" t="str">
        <f>IF('Midterm 2'!S$2=$A113,'Midterm 2'!S$47," ")</f>
        <v xml:space="preserve"> </v>
      </c>
      <c r="HM113" s="25" t="str">
        <f>IF('Midterm 2'!T$1=$A113,'Midterm 2'!T$47," ")</f>
        <v xml:space="preserve"> </v>
      </c>
      <c r="HN113" s="25" t="str">
        <f>IF('Midterm 2'!T$2=$A113,'Midterm 2'!T$47," ")</f>
        <v xml:space="preserve"> </v>
      </c>
      <c r="HO113" s="25" t="str">
        <f>IF('Midterm 2'!U$1=$A113,'Midterm 2'!U$47," ")</f>
        <v xml:space="preserve"> </v>
      </c>
      <c r="HP113" s="25" t="str">
        <f>IF('Midterm 2'!U$2=$A113,'Midterm 2'!U$47," ")</f>
        <v xml:space="preserve"> </v>
      </c>
      <c r="HQ113" s="25" t="str">
        <f>IF('Midterm 2'!V$1=$A113,'Midterm 2'!V$47," ")</f>
        <v xml:space="preserve"> </v>
      </c>
      <c r="HR113" s="25" t="str">
        <f>IF('Midterm 2'!V$2=$A113,'Midterm 2'!V$47," ")</f>
        <v xml:space="preserve"> </v>
      </c>
      <c r="HS113" s="25" t="str">
        <f>IF('Midterm 2'!W$1=$A113,'Midterm 2'!W$47," ")</f>
        <v xml:space="preserve"> </v>
      </c>
      <c r="HT113" s="25" t="str">
        <f>IF('Midterm 2'!W$2=$A113,'Midterm 2'!W$47," ")</f>
        <v xml:space="preserve"> </v>
      </c>
      <c r="HU113" s="25" t="str">
        <f>IF('Midterm 2'!X$1=$A113,'Midterm 2'!X$47," ")</f>
        <v xml:space="preserve"> </v>
      </c>
      <c r="HV113" s="25" t="str">
        <f>IF('Midterm 2'!X$2=$A113,'Midterm 2'!X$47," ")</f>
        <v xml:space="preserve"> </v>
      </c>
      <c r="HW113" s="25" t="str">
        <f>IF('Midterm 2'!Y$1=$A113,'Midterm 2'!Y$47," ")</f>
        <v xml:space="preserve"> </v>
      </c>
      <c r="HX113" s="25" t="str">
        <f>IF('Midterm 2'!Y$2=$A113,'Midterm 2'!Y$47," ")</f>
        <v xml:space="preserve"> </v>
      </c>
      <c r="HY113" s="25" t="str">
        <f>IF('Midterm 2'!Z$1=$A113,'Midterm 2'!Z$47," ")</f>
        <v xml:space="preserve"> </v>
      </c>
      <c r="HZ113" s="25" t="str">
        <f>IF('Midterm 2'!Z$2=$A113,'Midterm 2'!Z$47," ")</f>
        <v xml:space="preserve"> </v>
      </c>
      <c r="IA113" s="25" t="str">
        <f>IF('Midterm 2'!AA$1=$A113,'Midterm 2'!AA$47," ")</f>
        <v xml:space="preserve"> </v>
      </c>
      <c r="IB113" s="25" t="str">
        <f>IF('Midterm 2'!AA$2=$A113,'Midterm 2'!AA$47," ")</f>
        <v xml:space="preserve"> </v>
      </c>
      <c r="IC113" s="25" t="str">
        <f>IF('Midterm 2'!AB$1=$A113,'Midterm 2'!AB$47," ")</f>
        <v xml:space="preserve"> </v>
      </c>
      <c r="ID113" s="25" t="str">
        <f>IF('Midterm 2'!AB$2=$A113,'Midterm 2'!AB$47," ")</f>
        <v xml:space="preserve"> </v>
      </c>
      <c r="IE113" s="25" t="str">
        <f>IF('Midterm 2'!AC$1=$A113,'Midterm 2'!AC$47," ")</f>
        <v xml:space="preserve"> </v>
      </c>
      <c r="IF113" s="25" t="str">
        <f>IF('Midterm 2'!AC$2=$A113,'Midterm 2'!AC$47," ")</f>
        <v xml:space="preserve"> </v>
      </c>
      <c r="IG113" s="25" t="str">
        <f>IF('Midterm 2'!AD$1=$A113,'Midterm 2'!AD$47," ")</f>
        <v xml:space="preserve"> </v>
      </c>
      <c r="IH113" s="25" t="str">
        <f>IF('Midterm 2'!AD$2=$A113,'Midterm 2'!AD$47," ")</f>
        <v xml:space="preserve"> </v>
      </c>
      <c r="II113" s="25" t="str">
        <f>IF('Midterm 2'!AE$1=$A113,'Midterm 2'!AE$47," ")</f>
        <v xml:space="preserve"> </v>
      </c>
      <c r="IJ113" s="25" t="str">
        <f>IF('Midterm 2'!AE$2=$A113,'Midterm 2'!AE$47," ")</f>
        <v xml:space="preserve"> </v>
      </c>
      <c r="IK113" s="25" t="str">
        <f>IF('Midterm 2'!AF$1=$A113,'Midterm 2'!AF$47," ")</f>
        <v xml:space="preserve"> </v>
      </c>
      <c r="IL113" s="25" t="str">
        <f>IF('Midterm 2'!AF$2=$A113,'Midterm 2'!AF$47," ")</f>
        <v xml:space="preserve"> </v>
      </c>
      <c r="IM113" s="25" t="str">
        <f>IF('Midterm 2'!AG$1=$A113,'Midterm 2'!AG$47," ")</f>
        <v xml:space="preserve"> </v>
      </c>
      <c r="IN113" s="25" t="str">
        <f>IF('Midterm 2'!AG$2=$A113,'Midterm 2'!AG$47," ")</f>
        <v xml:space="preserve"> </v>
      </c>
      <c r="IO113" s="25" t="str">
        <f>IF('Midterm 2'!AH$1=$A113,'Midterm 2'!AH$47," ")</f>
        <v xml:space="preserve"> </v>
      </c>
      <c r="IP113" s="25" t="str">
        <f>IF('Midterm 2'!AH$2=$A113,'Midterm 2'!AF$47," ")</f>
        <v xml:space="preserve"> </v>
      </c>
      <c r="IR113" s="54" t="str">
        <f>IF('Final Exam'!C$1=$A113,'Final Exam'!C$46," ")</f>
        <v xml:space="preserve"> </v>
      </c>
      <c r="IS113" s="54" t="str">
        <f>IF('Final Exam'!C$2=$A113,'Final Exam'!C$46," ")</f>
        <v xml:space="preserve"> </v>
      </c>
      <c r="IT113" s="54" t="str">
        <f>IF('Final Exam'!D$1=$A113,'Final Exam'!D$46," ")</f>
        <v xml:space="preserve"> </v>
      </c>
      <c r="IU113" s="54" t="str">
        <f>IF('Final Exam'!D$2=$A113,'Final Exam'!D$46," ")</f>
        <v xml:space="preserve"> </v>
      </c>
      <c r="IV113" s="54" t="str">
        <f>IF('Final Exam'!E$1=$A113,'Final Exam'!E$46," ")</f>
        <v xml:space="preserve"> </v>
      </c>
      <c r="IW113" s="54" t="str">
        <f>IF('Final Exam'!E$2=$A113,'Final Exam'!E$46," ")</f>
        <v xml:space="preserve"> </v>
      </c>
      <c r="IX113" s="54" t="str">
        <f>IF('Final Exam'!F$1=$A113,'Final Exam'!F$46," ")</f>
        <v xml:space="preserve"> </v>
      </c>
      <c r="IY113" s="54" t="str">
        <f>IF('Final Exam'!F$2=$A113,'Final Exam'!F$46," ")</f>
        <v xml:space="preserve"> </v>
      </c>
      <c r="IZ113" s="54" t="str">
        <f>IF('Final Exam'!G$1=$A113,'Final Exam'!G$46," ")</f>
        <v xml:space="preserve"> </v>
      </c>
      <c r="JA113" s="54" t="str">
        <f>IF('Final Exam'!G$2=$A113,'Final Exam'!G$46," ")</f>
        <v xml:space="preserve"> </v>
      </c>
      <c r="JB113" s="54" t="str">
        <f>IF('Final Exam'!H$1=$A113,'Final Exam'!G$46," ")</f>
        <v xml:space="preserve"> </v>
      </c>
      <c r="JC113" s="54" t="str">
        <f>IF('Final Exam'!H$2=$A113,'Final Exam'!H$46," ")</f>
        <v xml:space="preserve"> </v>
      </c>
      <c r="JD113" s="54" t="str">
        <f>IF('Final Exam'!I$1=$A113,'Final Exam'!I$46," ")</f>
        <v xml:space="preserve"> </v>
      </c>
      <c r="JE113" s="54" t="str">
        <f>IF('Final Exam'!I$2=$A113,'Final Exam'!I$46," ")</f>
        <v xml:space="preserve"> </v>
      </c>
      <c r="JF113" s="54" t="str">
        <f>IF('Final Exam'!J$1=$A113,'Final Exam'!J$46," ")</f>
        <v xml:space="preserve"> </v>
      </c>
      <c r="JG113" s="54" t="str">
        <f>IF('Final Exam'!J$2=$A113,'Final Exam'!J$46," ")</f>
        <v xml:space="preserve"> </v>
      </c>
      <c r="JH113" s="54" t="str">
        <f>IF('Final Exam'!K$1=$A113,'Final Exam'!K$46," ")</f>
        <v xml:space="preserve"> </v>
      </c>
      <c r="JI113" s="54" t="str">
        <f>IF('Final Exam'!K$2=$A113,'Final Exam'!K$46," ")</f>
        <v xml:space="preserve"> </v>
      </c>
      <c r="JJ113" s="54" t="str">
        <f>IF('Final Exam'!L$1=$A113,'Final Exam'!L$46," ")</f>
        <v xml:space="preserve"> </v>
      </c>
      <c r="JK113" s="54" t="str">
        <f>IF('Final Exam'!L$2=$A113,'Final Exam'!L$46," ")</f>
        <v xml:space="preserve"> </v>
      </c>
      <c r="JL113" s="54" t="str">
        <f>IF('Final Exam'!M$1=$A113,'Final Exam'!M$46," ")</f>
        <v xml:space="preserve"> </v>
      </c>
      <c r="JM113" s="54" t="str">
        <f>IF('Final Exam'!M$2=$A113,'Final Exam'!M$46," ")</f>
        <v xml:space="preserve"> </v>
      </c>
      <c r="JN113" s="54" t="str">
        <f>IF('Final Exam'!N$1=$A113,'Final Exam'!N$46," ")</f>
        <v xml:space="preserve"> </v>
      </c>
      <c r="JO113" s="54" t="str">
        <f>IF('Final Exam'!N$2=$A113,'Final Exam'!N$46," ")</f>
        <v xml:space="preserve"> </v>
      </c>
      <c r="JP113" s="54" t="str">
        <f>IF('Final Exam'!O$1=$A113,'Final Exam'!O$46," ")</f>
        <v xml:space="preserve"> </v>
      </c>
      <c r="JQ113" s="54" t="str">
        <f>IF('Final Exam'!O$2=$A113,'Final Exam'!O$46," ")</f>
        <v xml:space="preserve"> </v>
      </c>
      <c r="JR113" s="54" t="str">
        <f>IF('Final Exam'!P$1=$A113,'Final Exam'!P$46," ")</f>
        <v xml:space="preserve"> </v>
      </c>
      <c r="JS113" s="54" t="str">
        <f>IF('Final Exam'!P$2=$A113,'Final Exam'!P$46," ")</f>
        <v xml:space="preserve"> </v>
      </c>
      <c r="JT113" s="54" t="str">
        <f>IF('Final Exam'!Q$1=$A113,'Final Exam'!Q$46," ")</f>
        <v xml:space="preserve"> </v>
      </c>
      <c r="JU113" s="54" t="str">
        <f>IF('Final Exam'!Q$2=$A113,'Final Exam'!Q$46," ")</f>
        <v xml:space="preserve"> </v>
      </c>
      <c r="JV113" s="54" t="str">
        <f>IF('Final Exam'!R$1=$A113,'Final Exam'!R$46," ")</f>
        <v xml:space="preserve"> </v>
      </c>
      <c r="JW113" s="54" t="str">
        <f>IF('Final Exam'!R$2=$A113,'Final Exam'!R$46," ")</f>
        <v xml:space="preserve"> </v>
      </c>
      <c r="JX113" s="54" t="str">
        <f>IF('Final Exam'!S$1=$A113,'Final Exam'!S$46," ")</f>
        <v xml:space="preserve"> </v>
      </c>
      <c r="JY113" s="54" t="str">
        <f>IF('Final Exam'!S$2=$A113,'Final Exam'!S$46," ")</f>
        <v xml:space="preserve"> </v>
      </c>
      <c r="JZ113" s="54" t="str">
        <f>IF('Final Exam'!T$1=$A113,'Final Exam'!T$46," ")</f>
        <v xml:space="preserve"> </v>
      </c>
      <c r="KA113" s="54" t="str">
        <f>IF('Final Exam'!T$2=$A113,'Final Exam'!T$46," ")</f>
        <v xml:space="preserve"> </v>
      </c>
      <c r="KB113" s="54" t="str">
        <f>IF('Final Exam'!U$1=$A113,'Final Exam'!U$46," ")</f>
        <v xml:space="preserve"> </v>
      </c>
      <c r="KC113" s="54" t="str">
        <f>IF('Final Exam'!U$2=$A113,'Final Exam'!U$46," ")</f>
        <v xml:space="preserve"> </v>
      </c>
      <c r="KD113" s="54" t="str">
        <f>IF('Final Exam'!V$1=$A113,'Final Exam'!V$46," ")</f>
        <v xml:space="preserve"> </v>
      </c>
      <c r="KE113" s="54" t="str">
        <f>IF('Final Exam'!V$2=$A113,'Final Exam'!V$46," ")</f>
        <v xml:space="preserve"> </v>
      </c>
      <c r="KF113" s="54" t="str">
        <f>IF('Final Exam'!W$1=$A113,'Final Exam'!W$46," ")</f>
        <v xml:space="preserve"> </v>
      </c>
      <c r="KG113" s="54" t="str">
        <f>IF('Final Exam'!W$2=$A113,'Final Exam'!W$46," ")</f>
        <v xml:space="preserve"> </v>
      </c>
      <c r="KH113" s="54" t="str">
        <f>IF('Final Exam'!X$1=$A113,'Final Exam'!X$46," ")</f>
        <v xml:space="preserve"> </v>
      </c>
      <c r="KI113" s="54" t="str">
        <f>IF('Final Exam'!X$2=$A113,'Final Exam'!X$46," ")</f>
        <v xml:space="preserve"> </v>
      </c>
      <c r="KJ113" s="54" t="str">
        <f>IF('Final Exam'!Y$1=$A113,'Final Exam'!Y$46," ")</f>
        <v xml:space="preserve"> </v>
      </c>
      <c r="KK113" s="54" t="str">
        <f>IF('Final Exam'!Y$2=$A113,'Final Exam'!Y$46," ")</f>
        <v xml:space="preserve"> </v>
      </c>
      <c r="KL113" s="54" t="str">
        <f>IF('Final Exam'!Z$1=$A113,'Final Exam'!Z$46," ")</f>
        <v xml:space="preserve"> </v>
      </c>
      <c r="KM113" s="54" t="str">
        <f>IF('Final Exam'!Z$2=$A113,'Final Exam'!Z$46," ")</f>
        <v xml:space="preserve"> </v>
      </c>
      <c r="KN113" s="54" t="str">
        <f>IF('Final Exam'!AA$1=$A113,'Final Exam'!AA$46," ")</f>
        <v xml:space="preserve"> </v>
      </c>
      <c r="KO113" s="54" t="str">
        <f>IF('Final Exam'!AA$2=$A113,'Final Exam'!AA$46," ")</f>
        <v xml:space="preserve"> </v>
      </c>
      <c r="KP113" s="54" t="str">
        <f>IF('Final Exam'!AB$1=$A113,'Final Exam'!AB$46," ")</f>
        <v xml:space="preserve"> </v>
      </c>
      <c r="KQ113" s="54" t="str">
        <f>IF('Final Exam'!AB$2=$A113,'Final Exam'!AB$46," ")</f>
        <v xml:space="preserve"> </v>
      </c>
      <c r="KR113" s="54" t="str">
        <f>IF('Final Exam'!AC$1=$A113,'Final Exam'!AC$46," ")</f>
        <v xml:space="preserve"> </v>
      </c>
      <c r="KS113" s="54" t="str">
        <f>IF('Final Exam'!AC$2=$A113,'Final Exam'!AC$46," ")</f>
        <v xml:space="preserve"> </v>
      </c>
      <c r="KT113" s="54" t="str">
        <f>IF('Final Exam'!AD$1=$A113,'Final Exam'!AD$46," ")</f>
        <v xml:space="preserve"> </v>
      </c>
      <c r="KU113" s="54" t="str">
        <f>IF('Final Exam'!AD$2=$A113,'Final Exam'!AD$46," ")</f>
        <v xml:space="preserve"> </v>
      </c>
      <c r="KV113" s="54" t="str">
        <f>IF('Final Exam'!AE$1=$A113,'Final Exam'!AE$46," ")</f>
        <v xml:space="preserve"> </v>
      </c>
      <c r="KW113" s="54" t="str">
        <f>IF('Final Exam'!AE$2=$A113,'Final Exam'!AE$46," ")</f>
        <v xml:space="preserve"> </v>
      </c>
      <c r="KX113" s="54" t="str">
        <f>IF('Final Exam'!AF$1=$A113,'Final Exam'!AF$46," ")</f>
        <v xml:space="preserve"> </v>
      </c>
      <c r="KY113" s="54" t="str">
        <f>IF('Final Exam'!AF$2=$A113,'Final Exam'!AF$46," ")</f>
        <v xml:space="preserve"> </v>
      </c>
      <c r="KZ113" s="54" t="str">
        <f>IF('Final Exam'!AG$1=$A113,'Final Exam'!AG$46," ")</f>
        <v xml:space="preserve"> </v>
      </c>
      <c r="LA113" s="54" t="str">
        <f>IF('Final Exam'!AG$2=$A113,'Final Exam'!AG$46," ")</f>
        <v xml:space="preserve"> </v>
      </c>
      <c r="LC113" s="180" t="str">
        <f>IF('Incomplete Final'!C$1=$A113,'Incomplete Final'!C$46," ")</f>
        <v xml:space="preserve"> </v>
      </c>
      <c r="LD113" s="180" t="str">
        <f>IF('Incomplete Final'!C$2=$A113,'Incomplete Final'!C$46," ")</f>
        <v xml:space="preserve"> </v>
      </c>
      <c r="LE113" s="180" t="str">
        <f>IF('Incomplete Final'!D$1=$A113,'Incomplete Final'!D$46," ")</f>
        <v xml:space="preserve"> </v>
      </c>
      <c r="LF113" s="180" t="str">
        <f>IF('Incomplete Final'!D$2=$A113,'Incomplete Final'!D$46," ")</f>
        <v xml:space="preserve"> </v>
      </c>
      <c r="LG113" s="180" t="str">
        <f>IF('Incomplete Final'!E$1=$A113,'Incomplete Final'!E$46," ")</f>
        <v xml:space="preserve"> </v>
      </c>
      <c r="LH113" s="180" t="str">
        <f>IF('Incomplete Final'!E$2=$A113,'Incomplete Final'!E$46," ")</f>
        <v xml:space="preserve"> </v>
      </c>
      <c r="LI113" s="180" t="str">
        <f>IF('Incomplete Final'!F$1=$A113,'Incomplete Final'!F$46," ")</f>
        <v xml:space="preserve"> </v>
      </c>
      <c r="LJ113" s="180" t="str">
        <f>IF('Incomplete Final'!F$2=$A113,'Incomplete Final'!F$46," ")</f>
        <v xml:space="preserve"> </v>
      </c>
      <c r="LK113" s="180" t="str">
        <f>IF('Incomplete Final'!G$1=$A113,'Incomplete Final'!G$46," ")</f>
        <v xml:space="preserve"> </v>
      </c>
      <c r="LL113" s="180" t="str">
        <f>IF('Incomplete Final'!G$2=$A113,'Incomplete Final'!G$46," ")</f>
        <v xml:space="preserve"> </v>
      </c>
      <c r="LM113" s="180" t="str">
        <f>IF('Incomplete Final'!H$1=$A113,'Incomplete Final'!H$46," ")</f>
        <v xml:space="preserve"> </v>
      </c>
      <c r="LN113" s="180" t="str">
        <f>IF('Incomplete Final'!H$2=$A113,'Incomplete Final'!H$46," ")</f>
        <v xml:space="preserve"> </v>
      </c>
      <c r="LO113" s="180" t="str">
        <f>IF('Incomplete Final'!I$1=$A113,'Incomplete Final'!I$46," ")</f>
        <v xml:space="preserve"> </v>
      </c>
      <c r="LP113" s="180" t="str">
        <f>IF('Incomplete Final'!I$2=$A113,'Incomplete Final'!I$46," ")</f>
        <v xml:space="preserve"> </v>
      </c>
      <c r="LQ113" s="180" t="str">
        <f>IF('Incomplete Final'!J$1=$A113,'Incomplete Final'!J$46," ")</f>
        <v xml:space="preserve"> </v>
      </c>
      <c r="LR113" s="180" t="str">
        <f>IF('Incomplete Final'!J$2=$A113,'Incomplete Final'!J$46," ")</f>
        <v xml:space="preserve"> </v>
      </c>
      <c r="LS113" s="180" t="str">
        <f>IF('Incomplete Final'!K$1=$A113,'Incomplete Final'!K$46," ")</f>
        <v xml:space="preserve"> </v>
      </c>
      <c r="LT113" s="180" t="str">
        <f>IF('Incomplete Final'!K$2=$A113,'Incomplete Final'!K$46," ")</f>
        <v xml:space="preserve"> </v>
      </c>
      <c r="LU113" s="180" t="str">
        <f>IF('Incomplete Final'!L$1=$A113,'Incomplete Final'!L$46," ")</f>
        <v xml:space="preserve"> </v>
      </c>
      <c r="LV113" s="180" t="str">
        <f>IF('Incomplete Final'!L$2=$A113,'Incomplete Final'!L$46," ")</f>
        <v xml:space="preserve"> </v>
      </c>
      <c r="LW113" s="180" t="str">
        <f>IF('Incomplete Final'!M$1=$A113,'Incomplete Final'!M$46," ")</f>
        <v xml:space="preserve"> </v>
      </c>
      <c r="LX113" s="180" t="str">
        <f>IF('Incomplete Final'!M$2=$A113,'Incomplete Final'!M$46," ")</f>
        <v xml:space="preserve"> </v>
      </c>
      <c r="LY113" s="180" t="str">
        <f>IF('Incomplete Final'!N$1=$A113,'Incomplete Final'!N$46," ")</f>
        <v xml:space="preserve"> </v>
      </c>
      <c r="LZ113" s="180" t="str">
        <f>IF('Incomplete Final'!N$2=$A113,'Incomplete Final'!N$46," ")</f>
        <v xml:space="preserve"> </v>
      </c>
      <c r="MA113" s="180" t="str">
        <f>IF('Incomplete Final'!O$1=$A113,'Incomplete Final'!O$46," ")</f>
        <v xml:space="preserve"> </v>
      </c>
      <c r="MB113" s="180" t="str">
        <f>IF('Incomplete Final'!O$2=$A113,'Incomplete Final'!AB$46," ")</f>
        <v xml:space="preserve"> </v>
      </c>
      <c r="MC113" s="180" t="str">
        <f>IF('Incomplete Final'!P$1=$A113,'Incomplete Final'!P$46," ")</f>
        <v xml:space="preserve"> </v>
      </c>
      <c r="MD113" s="180" t="str">
        <f>IF('Incomplete Final'!P$2=$A113,'Incomplete Final'!P$46," ")</f>
        <v xml:space="preserve"> </v>
      </c>
      <c r="ME113" s="180" t="str">
        <f>IF('Incomplete Final'!Q$1=$A113,'Incomplete Final'!Q$46," ")</f>
        <v xml:space="preserve"> </v>
      </c>
      <c r="MF113" s="180" t="str">
        <f>IF('Incomplete Final'!Q$2=$A113,'Incomplete Final'!Q$46," ")</f>
        <v xml:space="preserve"> </v>
      </c>
      <c r="MG113" s="180" t="str">
        <f>IF('Incomplete Final'!R$1=$A113,'Incomplete Final'!R$46," ")</f>
        <v xml:space="preserve"> </v>
      </c>
      <c r="MH113" s="180" t="str">
        <f>IF('Incomplete Final'!R$2=$A113,'Incomplete Final'!R$46," ")</f>
        <v xml:space="preserve"> </v>
      </c>
      <c r="MI113" s="180" t="str">
        <f>IF('Incomplete Final'!S$1=$A113,'Incomplete Final'!S$46," ")</f>
        <v xml:space="preserve"> </v>
      </c>
      <c r="MJ113" s="180" t="str">
        <f>IF('Incomplete Final'!S$2=$A113,'Incomplete Final'!S$46," ")</f>
        <v xml:space="preserve"> </v>
      </c>
      <c r="MK113" s="180" t="str">
        <f>IF('Incomplete Final'!T$1=$A113,'Incomplete Final'!T$46," ")</f>
        <v xml:space="preserve"> </v>
      </c>
      <c r="ML113" s="180" t="str">
        <f>IF('Incomplete Final'!T$2=$A113,'Incomplete Final'!T$46," ")</f>
        <v xml:space="preserve"> </v>
      </c>
      <c r="MM113" s="180" t="str">
        <f>IF('Incomplete Final'!U$1=$A113,'Incomplete Final'!U$46," ")</f>
        <v xml:space="preserve"> </v>
      </c>
      <c r="MN113" s="180" t="str">
        <f>IF('Incomplete Final'!U$2=$A113,'Incomplete Final'!U$46," ")</f>
        <v xml:space="preserve"> </v>
      </c>
      <c r="MO113" s="180" t="str">
        <f>IF('Incomplete Final'!V$1=$A113,'Incomplete Final'!V$46," ")</f>
        <v xml:space="preserve"> </v>
      </c>
      <c r="MP113" s="180" t="str">
        <f>IF('Incomplete Final'!V$2=$A113,'Incomplete Final'!V$46," ")</f>
        <v xml:space="preserve"> </v>
      </c>
      <c r="MQ113" s="180" t="str">
        <f>IF('Incomplete Final'!W$1=$A113,'Incomplete Final'!W$46," ")</f>
        <v xml:space="preserve"> </v>
      </c>
      <c r="MR113" s="180" t="str">
        <f>IF('Incomplete Final'!W$2=$A113,'Incomplete Final'!W$46," ")</f>
        <v xml:space="preserve"> </v>
      </c>
      <c r="MS113" s="180" t="str">
        <f>IF('Incomplete Final'!X$1=$A113,'Incomplete Final'!X$46," ")</f>
        <v xml:space="preserve"> </v>
      </c>
      <c r="MT113" s="180" t="str">
        <f>IF('Incomplete Final'!X$2=$A113,'Incomplete Final'!X$46," ")</f>
        <v xml:space="preserve"> </v>
      </c>
      <c r="MU113" s="180" t="str">
        <f>IF('Incomplete Final'!Y$1=$A113,'Incomplete Final'!Y$46," ")</f>
        <v xml:space="preserve"> </v>
      </c>
      <c r="MV113" s="180" t="str">
        <f>IF('Incomplete Final'!Y$2=$A113,'Incomplete Final'!Y$46," ")</f>
        <v xml:space="preserve"> </v>
      </c>
      <c r="MW113" s="180" t="str">
        <f>IF('Incomplete Final'!Z$1=$A113,'Incomplete Final'!Z$46," ")</f>
        <v xml:space="preserve"> </v>
      </c>
      <c r="MX113" s="180" t="str">
        <f>IF('Incomplete Final'!Z$2=$A113,'Incomplete Final'!Z$46," ")</f>
        <v xml:space="preserve"> </v>
      </c>
      <c r="MY113" s="180" t="str">
        <f>IF('Incomplete Final'!AA$1=$A113,'Incomplete Final'!AA$46," ")</f>
        <v xml:space="preserve"> </v>
      </c>
      <c r="MZ113" s="180" t="str">
        <f>IF('Incomplete Final'!AA$2=$A113,'Incomplete Final'!AA$46," ")</f>
        <v xml:space="preserve"> </v>
      </c>
      <c r="NA113" s="180" t="str">
        <f>IF('Incomplete Final'!AB$1=$A113,'Incomplete Final'!AB$46," ")</f>
        <v xml:space="preserve"> </v>
      </c>
      <c r="NB113" s="180" t="str">
        <f>IF('Incomplete Final'!AB$2=$A113,'Incomplete Final'!AB$46," ")</f>
        <v xml:space="preserve"> </v>
      </c>
      <c r="NC113" s="180" t="str">
        <f>IF('Incomplete Final'!AC$1=$A113,'Incomplete Final'!AC$46," ")</f>
        <v xml:space="preserve"> </v>
      </c>
      <c r="ND113" s="180" t="str">
        <f>IF('Incomplete Final'!AC$2=$A113,'Incomplete Final'!AC$46," ")</f>
        <v xml:space="preserve"> </v>
      </c>
      <c r="NE113" s="180" t="str">
        <f>IF('Incomplete Final'!AD$1=$A113,'Incomplete Final'!AD$46," ")</f>
        <v xml:space="preserve"> </v>
      </c>
      <c r="NF113" s="180" t="str">
        <f>IF('Incomplete Final'!AD$2=$A113,'Incomplete Final'!AD$46," ")</f>
        <v xml:space="preserve"> </v>
      </c>
      <c r="NG113" s="180" t="str">
        <f>IF('Incomplete Final'!AE$1=$A113,'Incomplete Final'!AE$46," ")</f>
        <v xml:space="preserve"> </v>
      </c>
      <c r="NH113" s="180" t="str">
        <f>IF('Incomplete Final'!AE$2=$A113,'Incomplete Final'!AE$46," ")</f>
        <v xml:space="preserve"> </v>
      </c>
      <c r="NI113" s="180" t="str">
        <f>IF('Incomplete Final'!AF$1=$A113,'Incomplete Final'!AF$46," ")</f>
        <v xml:space="preserve"> </v>
      </c>
      <c r="NJ113" s="180" t="str">
        <f>IF('Incomplete Final'!AF$2=$A113,'Incomplete Final'!AF$46," ")</f>
        <v xml:space="preserve"> </v>
      </c>
      <c r="NK113" s="180" t="str">
        <f>IF('Incomplete Final'!AG$1=$A113,'Incomplete Final'!AG$46," ")</f>
        <v xml:space="preserve"> </v>
      </c>
      <c r="NL113" s="180" t="str">
        <f>IF('Incomplete Final'!AG$2=$A113,'Incomplete Final'!AG$46," ")</f>
        <v xml:space="preserve"> </v>
      </c>
      <c r="NN113" s="53" t="str">
        <f>IF('Laboratory Final'!C$1=$A113,'Laboratory Final'!C$46," ")</f>
        <v xml:space="preserve"> </v>
      </c>
      <c r="NO113" s="53" t="str">
        <f>IF('Laboratory Final'!C$2=$A113,'Laboratory Final'!C$46," ")</f>
        <v xml:space="preserve"> </v>
      </c>
      <c r="NP113" s="53" t="str">
        <f>IF('Laboratory Final'!D$1=$A113,'Laboratory Final'!D$46," ")</f>
        <v xml:space="preserve"> </v>
      </c>
      <c r="NQ113" s="53" t="str">
        <f>IF('Laboratory Final'!D$2=$A113,'Laboratory Final'!D$46," ")</f>
        <v xml:space="preserve"> </v>
      </c>
      <c r="NR113" s="53" t="str">
        <f>IF('Laboratory Final'!E$1=$A113,'Laboratory Final'!E$46," ")</f>
        <v xml:space="preserve"> </v>
      </c>
      <c r="NS113" s="53" t="str">
        <f>IF('Laboratory Final'!E$2=$A113,'Laboratory Final'!E$46," ")</f>
        <v xml:space="preserve"> </v>
      </c>
      <c r="NT113" s="53" t="str">
        <f>IF('Laboratory Final'!F$1=$A113,'Laboratory Final'!F$46," ")</f>
        <v xml:space="preserve"> </v>
      </c>
      <c r="NU113" s="53" t="str">
        <f>IF('Laboratory Final'!F$2=$A113,'Laboratory Final'!F$46," ")</f>
        <v xml:space="preserve"> </v>
      </c>
      <c r="NV113" s="53" t="str">
        <f>IF('Laboratory Final'!G$1=$A113,'Laboratory Final'!G$46," ")</f>
        <v xml:space="preserve"> </v>
      </c>
      <c r="NW113" s="53" t="str">
        <f>IF('Laboratory Final'!G$2=$A113,'Laboratory Final'!G$46," ")</f>
        <v xml:space="preserve"> </v>
      </c>
      <c r="NX113" s="53" t="str">
        <f>IF('Laboratory Final'!H$1=$A113,'Laboratory Final'!H$46," ")</f>
        <v xml:space="preserve"> </v>
      </c>
      <c r="NY113" s="53" t="str">
        <f>IF('Laboratory Final'!H$2=$A113,'Laboratory Final'!H$46," ")</f>
        <v xml:space="preserve"> </v>
      </c>
      <c r="NZ113" s="53" t="str">
        <f>IF('Laboratory Final'!I$1=$A113,'Laboratory Final'!I$46," ")</f>
        <v xml:space="preserve"> </v>
      </c>
      <c r="OA113" s="53" t="str">
        <f>IF('Laboratory Final'!I$2=$A113,'Laboratory Final'!I$46," ")</f>
        <v xml:space="preserve"> </v>
      </c>
      <c r="OB113" s="53" t="str">
        <f>IF('Laboratory Final'!J$1=$A113,'Laboratory Final'!J$46," ")</f>
        <v xml:space="preserve"> </v>
      </c>
      <c r="OC113" s="53" t="str">
        <f>IF('Laboratory Final'!J$2=$A113,'Laboratory Final'!J$46," ")</f>
        <v xml:space="preserve"> </v>
      </c>
      <c r="OD113" s="53" t="str">
        <f>IF('Laboratory Final'!K$1=$A113,'Laboratory Final'!K$46," ")</f>
        <v xml:space="preserve"> </v>
      </c>
      <c r="OE113" s="53" t="str">
        <f>IF('Laboratory Final'!K$2=$A113,'Laboratory Final'!K$46," ")</f>
        <v xml:space="preserve"> </v>
      </c>
      <c r="OF113" s="53" t="str">
        <f>IF('Laboratory Final'!L$1=$A113,'Laboratory Final'!L$46," ")</f>
        <v xml:space="preserve"> </v>
      </c>
      <c r="OG113" s="53" t="str">
        <f>IF('Laboratory Final'!L$2=$A113,'Laboratory Final'!L$46," ")</f>
        <v xml:space="preserve"> </v>
      </c>
      <c r="OI113" s="192" t="e">
        <f t="shared" si="14"/>
        <v>#DIV/0!</v>
      </c>
    </row>
    <row r="114" spans="1:399" ht="18.75" x14ac:dyDescent="0.3">
      <c r="A114" s="48">
        <v>9</v>
      </c>
      <c r="B114" s="55">
        <f>IF(SUM(D114:LA114)=0,0,AVERAGE('Course Analysis'!D114:LA114))</f>
        <v>0</v>
      </c>
      <c r="D114" s="53" t="str">
        <f>IF(Project!C$1=$A114,Project!C$46," ")</f>
        <v xml:space="preserve"> </v>
      </c>
      <c r="E114" s="53" t="str">
        <f>IF(Project!C$2=$A114,Project!C$46," ")</f>
        <v xml:space="preserve"> </v>
      </c>
      <c r="F114" s="53" t="str">
        <f>IF(Project!D$1=$A114,Project!D$46," ")</f>
        <v xml:space="preserve"> </v>
      </c>
      <c r="G114" s="53" t="str">
        <f>IF(Project!D$2=$A114,Project!D$46," ")</f>
        <v xml:space="preserve"> </v>
      </c>
      <c r="H114" s="53" t="str">
        <f>IF(Project!E$1=$A114,Project!E$46," ")</f>
        <v xml:space="preserve"> </v>
      </c>
      <c r="I114" s="53" t="str">
        <f>IF(Project!E$2=$A114,Project!E$46," ")</f>
        <v xml:space="preserve"> </v>
      </c>
      <c r="J114" s="53" t="str">
        <f>IF(Project!F$1=$A114,Project!F$46," ")</f>
        <v xml:space="preserve"> </v>
      </c>
      <c r="K114" s="53" t="str">
        <f>IF(Project!F$2=$A114,Project!F$46," ")</f>
        <v xml:space="preserve"> </v>
      </c>
      <c r="L114" s="53" t="str">
        <f>IF(Project!G$1=$A114,Project!G$46," ")</f>
        <v xml:space="preserve"> </v>
      </c>
      <c r="M114" s="53" t="str">
        <f>IF(Project!G$2=$A114,Project!G$46," ")</f>
        <v xml:space="preserve"> </v>
      </c>
      <c r="N114" s="53" t="str">
        <f>IF(Project!H$1=$A114,Project!H$46," ")</f>
        <v xml:space="preserve"> </v>
      </c>
      <c r="O114" s="53" t="str">
        <f>IF(Project!H$2=$A114,Project!H$46," ")</f>
        <v xml:space="preserve"> </v>
      </c>
      <c r="P114" s="53" t="str">
        <f>IF(Project!I$1=$A114,Project!I$46," ")</f>
        <v xml:space="preserve"> </v>
      </c>
      <c r="Q114" s="53" t="str">
        <f>IF(Project!I$2=$A114,Project!I$46," ")</f>
        <v xml:space="preserve"> </v>
      </c>
      <c r="R114" s="53" t="str">
        <f>IF(Project!J$1=$A114,Project!J$46," ")</f>
        <v xml:space="preserve"> </v>
      </c>
      <c r="S114" s="53" t="str">
        <f>IF(Project!J$2=$A114,Project!J$46," ")</f>
        <v xml:space="preserve"> </v>
      </c>
      <c r="T114" s="53" t="str">
        <f>IF(Project!K$1=$A114,Project!K$46," ")</f>
        <v xml:space="preserve"> </v>
      </c>
      <c r="U114" s="53" t="str">
        <f>IF(Project!K$2=$A114,Project!K$46," ")</f>
        <v xml:space="preserve"> </v>
      </c>
      <c r="V114" s="53" t="str">
        <f>IF(Project!L$1=$A114,Project!L$46," ")</f>
        <v xml:space="preserve"> </v>
      </c>
      <c r="W114" s="53" t="str">
        <f>IF(Project!L$2=$A114,Project!L$46," ")</f>
        <v xml:space="preserve"> </v>
      </c>
      <c r="Y114" s="53" t="str">
        <f>IF(Homework!C$1=$A114,Homework!C$46," ")</f>
        <v xml:space="preserve"> </v>
      </c>
      <c r="Z114" s="53" t="str">
        <f>IF(Homework!C$2=$A114,Homework!C$46," ")</f>
        <v xml:space="preserve"> </v>
      </c>
      <c r="AA114" s="53" t="str">
        <f>IF(Homework!D$1=$A114,Homework!D$46," ")</f>
        <v xml:space="preserve"> </v>
      </c>
      <c r="AB114" s="53" t="str">
        <f>IF(Homework!D$2=$A114,Homework!D$46," ")</f>
        <v xml:space="preserve"> </v>
      </c>
      <c r="AC114" s="53" t="str">
        <f>IF(Homework!E$1=$A114,Homework!E$46," ")</f>
        <v xml:space="preserve"> </v>
      </c>
      <c r="AD114" s="53" t="str">
        <f>IF(Homework!E$2=$A114,Homework!E$46," ")</f>
        <v xml:space="preserve"> </v>
      </c>
      <c r="AE114" s="53" t="str">
        <f>IF(Homework!F$1=$A114,Homework!F$46," ")</f>
        <v xml:space="preserve"> </v>
      </c>
      <c r="AF114" s="53" t="str">
        <f>IF(Homework!F$2=$A114,Homework!F$46," ")</f>
        <v xml:space="preserve"> </v>
      </c>
      <c r="AG114" s="53" t="str">
        <f>IF(Homework!G$1=$A114,Homework!G$46," ")</f>
        <v xml:space="preserve"> </v>
      </c>
      <c r="AH114" s="53" t="str">
        <f>IF(Homework!G$2=$A114,Homework!G$46," ")</f>
        <v xml:space="preserve"> </v>
      </c>
      <c r="AI114" s="53" t="str">
        <f>IF(Homework!H$1=$A114,Homework!H$46," ")</f>
        <v xml:space="preserve"> </v>
      </c>
      <c r="AJ114" s="53" t="str">
        <f>IF(Homework!H$2=$A114,Homework!H$46," ")</f>
        <v xml:space="preserve"> </v>
      </c>
      <c r="AK114" s="53" t="str">
        <f>IF(Homework!I$1=$A114,Homework!I$46," ")</f>
        <v xml:space="preserve"> </v>
      </c>
      <c r="AL114" s="53" t="str">
        <f>IF(Homework!I$2=$A114,Homework!I$46," ")</f>
        <v xml:space="preserve"> </v>
      </c>
      <c r="AM114" s="53" t="str">
        <f>IF(Homework!J$1=$A114,Homework!J$46," ")</f>
        <v xml:space="preserve"> </v>
      </c>
      <c r="AN114" s="53" t="str">
        <f>IF(Homework!J$2=$A114,Homework!J$46," ")</f>
        <v xml:space="preserve"> </v>
      </c>
      <c r="AO114" s="53" t="str">
        <f>IF(Homework!K$1=$A114,Homework!K$46," ")</f>
        <v xml:space="preserve"> </v>
      </c>
      <c r="AP114" s="53" t="str">
        <f>IF(Homework!K$2=$A114,Homework!K$46," ")</f>
        <v xml:space="preserve"> </v>
      </c>
      <c r="AQ114" s="53" t="str">
        <f>IF(Homework!L$1=$A114,Homework!L$46," ")</f>
        <v xml:space="preserve"> </v>
      </c>
      <c r="AR114" s="53" t="str">
        <f>IF(Homework!L$2=$A114,Homework!L$46," ")</f>
        <v xml:space="preserve"> </v>
      </c>
      <c r="AS114" s="53" t="str">
        <f>IF(Homework!M$1=$A114,Homework!M$46," ")</f>
        <v xml:space="preserve"> </v>
      </c>
      <c r="AT114" s="53" t="str">
        <f>IF(Homework!M$2=$A114,Homework!M$46," ")</f>
        <v xml:space="preserve"> </v>
      </c>
      <c r="AU114" s="53" t="str">
        <f>IF(Homework!N$1=$A114,Homework!N$46," ")</f>
        <v xml:space="preserve"> </v>
      </c>
      <c r="AV114" s="53" t="str">
        <f>IF(Homework!N$2=$A114,Homework!N$46," ")</f>
        <v xml:space="preserve"> </v>
      </c>
      <c r="AW114" s="53" t="str">
        <f>IF(Homework!O$1=$A114,Homework!O$46," ")</f>
        <v xml:space="preserve"> </v>
      </c>
      <c r="AX114" s="53" t="str">
        <f>IF(Homework!O$2=$A114,Homework!O$46," ")</f>
        <v xml:space="preserve"> </v>
      </c>
      <c r="AY114" s="53" t="str">
        <f>IF(Homework!P$1=$A114,Homework!P$46," ")</f>
        <v xml:space="preserve"> </v>
      </c>
      <c r="AZ114" s="53" t="str">
        <f>IF(Homework!P$2=$A114,Homework!P$46," ")</f>
        <v xml:space="preserve"> </v>
      </c>
      <c r="BA114" s="53" t="str">
        <f>IF(Homework!Q$1=$A114,Homework!Q$46," ")</f>
        <v xml:space="preserve"> </v>
      </c>
      <c r="BB114" s="53" t="str">
        <f>IF(Homework!Q$2=$A114,Homework!Q$46," ")</f>
        <v xml:space="preserve"> </v>
      </c>
      <c r="BC114" s="53" t="str">
        <f>IF(Homework!R$1=$A114,Homework!R$46," ")</f>
        <v xml:space="preserve"> </v>
      </c>
      <c r="BD114" s="53" t="str">
        <f>IF(Homework!R$2=$A114,Homework!R$46," ")</f>
        <v xml:space="preserve"> </v>
      </c>
      <c r="BE114" s="53" t="str">
        <f>IF(Homework!S$1=$A114,Homework!S$46," ")</f>
        <v xml:space="preserve"> </v>
      </c>
      <c r="BF114" s="53" t="str">
        <f>IF(Homework!S$2=$A114,Homework!S$46," ")</f>
        <v xml:space="preserve"> </v>
      </c>
      <c r="BG114" s="53" t="str">
        <f>IF(Homework!T$1=$A114,Homework!T$46," ")</f>
        <v xml:space="preserve"> </v>
      </c>
      <c r="BH114" s="53" t="str">
        <f>IF(Homework!T$2=$A114,Homework!T$46," ")</f>
        <v xml:space="preserve"> </v>
      </c>
      <c r="BI114" s="53" t="str">
        <f>IF(Homework!U$1=$A114,Homework!U$46," ")</f>
        <v xml:space="preserve"> </v>
      </c>
      <c r="BJ114" s="53" t="str">
        <f>IF(Homework!U$2=$A114,Homework!U$46," ")</f>
        <v xml:space="preserve"> </v>
      </c>
      <c r="BK114" s="53" t="str">
        <f>IF(Homework!V$1=$A114,Homework!V$46," ")</f>
        <v xml:space="preserve"> </v>
      </c>
      <c r="BL114" s="53" t="str">
        <f>IF(Homework!V$2=$A114,Homework!V$46," ")</f>
        <v xml:space="preserve"> </v>
      </c>
      <c r="BN114" s="66" t="str">
        <f>IF(Laboratory!C$1=$A114,Laboratory!C$46," ")</f>
        <v xml:space="preserve"> </v>
      </c>
      <c r="BO114" s="66" t="str">
        <f>IF(Laboratory!C$2=$A114,Laboratory!C$46," ")</f>
        <v xml:space="preserve"> </v>
      </c>
      <c r="BP114" s="66" t="str">
        <f>IF(Laboratory!D$1=$A114,Laboratory!D$46," ")</f>
        <v xml:space="preserve"> </v>
      </c>
      <c r="BQ114" s="66" t="str">
        <f>IF(Laboratory!D$2=$A114,Laboratory!D$46," ")</f>
        <v xml:space="preserve"> </v>
      </c>
      <c r="BR114" s="66" t="str">
        <f>IF(Laboratory!E$1=$A114,Laboratory!E$46," ")</f>
        <v xml:space="preserve"> </v>
      </c>
      <c r="BS114" s="66" t="str">
        <f>IF(Laboratory!E$2=$A114,Laboratory!E$46," ")</f>
        <v xml:space="preserve"> </v>
      </c>
      <c r="BT114" s="66" t="str">
        <f>IF(Laboratory!F$1=$A114,Laboratory!F$46," ")</f>
        <v xml:space="preserve"> </v>
      </c>
      <c r="BU114" s="66" t="str">
        <f>IF(Laboratory!F$2=$A114,Laboratory!F$46," ")</f>
        <v xml:space="preserve"> </v>
      </c>
      <c r="BV114" s="66" t="str">
        <f>IF(Laboratory!G$1=$A114,Laboratory!G$46," ")</f>
        <v xml:space="preserve"> </v>
      </c>
      <c r="BW114" s="66" t="str">
        <f>IF(Laboratory!G$2=$A114,Laboratory!G$46," ")</f>
        <v xml:space="preserve"> </v>
      </c>
      <c r="BX114" s="66" t="str">
        <f>IF(Laboratory!H$1=$A114,Laboratory!H$46," ")</f>
        <v xml:space="preserve"> </v>
      </c>
      <c r="BY114" s="66" t="str">
        <f>IF(Laboratory!H$2=$A114,Laboratory!H$46," ")</f>
        <v xml:space="preserve"> </v>
      </c>
      <c r="BZ114" s="66"/>
      <c r="CA114" s="66" t="str">
        <f>IF(Laboratory!I$2=$A114,Laboratory!I$46," ")</f>
        <v xml:space="preserve"> </v>
      </c>
      <c r="CB114" s="66"/>
      <c r="CC114" s="66" t="str">
        <f>IF(Laboratory!J$2=$A114,Laboratory!J$46," ")</f>
        <v xml:space="preserve"> </v>
      </c>
      <c r="CD114" s="66" t="str">
        <f>IF(Laboratory!K$1=$A114,Laboratory!K$46," ")</f>
        <v xml:space="preserve"> </v>
      </c>
      <c r="CE114" s="66" t="str">
        <f>IF(Laboratory!K$2=$A114,Laboratory!K$46," ")</f>
        <v xml:space="preserve"> </v>
      </c>
      <c r="CF114" s="66" t="str">
        <f>IF(Laboratory!L$1=$A114,Laboratory!L$46," ")</f>
        <v xml:space="preserve"> </v>
      </c>
      <c r="CG114" s="66" t="str">
        <f>IF(Laboratory!L$2=$A114,Laboratory!L$46," ")</f>
        <v xml:space="preserve"> </v>
      </c>
      <c r="CH114" s="66" t="str">
        <f>IF(Laboratory!M$1=$A114,Laboratory!M$46," ")</f>
        <v xml:space="preserve"> </v>
      </c>
      <c r="CI114" s="66" t="str">
        <f>IF(Laboratory!M$2=$A114,Laboratory!M$46," ")</f>
        <v xml:space="preserve"> </v>
      </c>
      <c r="CJ114" s="66" t="str">
        <f>IF(Laboratory!N$1=$A114,Laboratory!N$46," ")</f>
        <v xml:space="preserve"> </v>
      </c>
      <c r="CK114" s="66" t="str">
        <f>IF(Laboratory!N$2=$A114,Laboratory!N$46," ")</f>
        <v xml:space="preserve"> </v>
      </c>
      <c r="CL114" s="66" t="str">
        <f>IF(Laboratory!O$1=$A114,Laboratory!O$46," ")</f>
        <v xml:space="preserve"> </v>
      </c>
      <c r="CM114" s="66" t="str">
        <f>IF(Laboratory!O$2=$A114,Laboratory!O$46," ")</f>
        <v xml:space="preserve"> </v>
      </c>
      <c r="CN114" s="66" t="str">
        <f>IF(Laboratory!P$1=$A114,Laboratory!P$46," ")</f>
        <v xml:space="preserve"> </v>
      </c>
      <c r="CO114" s="66" t="str">
        <f>IF(Laboratory!P$2=$A114,Laboratory!P$46," ")</f>
        <v xml:space="preserve"> </v>
      </c>
      <c r="CQ114" s="52" t="str">
        <f>IF(Quizzes!C$1=$A114,Quizzes!C$46," ")</f>
        <v xml:space="preserve"> </v>
      </c>
      <c r="CR114" s="52" t="str">
        <f>IF(Quizzes!C$2=$A114,Quizzes!C$46," ")</f>
        <v xml:space="preserve"> </v>
      </c>
      <c r="CS114" s="52" t="str">
        <f>IF(Quizzes!D$1=$A114,Quizzes!D$46," ")</f>
        <v xml:space="preserve"> </v>
      </c>
      <c r="CT114" s="52" t="str">
        <f>IF(Quizzes!D$2=$A114,Quizzes!D$46," ")</f>
        <v xml:space="preserve"> </v>
      </c>
      <c r="CU114" s="52" t="str">
        <f>IF(Quizzes!E$1=$A114,Quizzes!E$46," ")</f>
        <v xml:space="preserve"> </v>
      </c>
      <c r="CV114" s="52" t="str">
        <f>IF(Quizzes!E$2=$A114,Quizzes!E$46," ")</f>
        <v xml:space="preserve"> </v>
      </c>
      <c r="CW114" s="52" t="str">
        <f>IF(Quizzes!F$1=$A114,Quizzes!F$46," ")</f>
        <v xml:space="preserve"> </v>
      </c>
      <c r="CX114" s="52" t="str">
        <f>IF(Quizzes!F$2=$A114,Quizzes!F$46," ")</f>
        <v xml:space="preserve"> </v>
      </c>
      <c r="CY114" s="52" t="str">
        <f>IF(Quizzes!G$1=$A114,Quizzes!G$46," ")</f>
        <v xml:space="preserve"> </v>
      </c>
      <c r="CZ114" s="52" t="str">
        <f>IF(Quizzes!G$2=$A114,Quizzes!G$46," ")</f>
        <v xml:space="preserve"> </v>
      </c>
      <c r="DA114" s="52" t="str">
        <f>IF(Quizzes!H$1=$A114,Quizzes!H$46," ")</f>
        <v xml:space="preserve"> </v>
      </c>
      <c r="DB114" s="52" t="str">
        <f>IF(Quizzes!H$2=$A114,Quizzes!H$46," ")</f>
        <v xml:space="preserve"> </v>
      </c>
      <c r="DC114" s="52" t="str">
        <f>IF(Quizzes!I$1=$A114,Quizzes!I$46," ")</f>
        <v xml:space="preserve"> </v>
      </c>
      <c r="DD114" s="52" t="str">
        <f>IF(Quizzes!I$2=$A114,Quizzes!I$46," ")</f>
        <v xml:space="preserve"> </v>
      </c>
      <c r="DE114" s="52" t="str">
        <f>IF(Quizzes!J$1=$A114,Quizzes!J$46," ")</f>
        <v xml:space="preserve"> </v>
      </c>
      <c r="DF114" s="52" t="str">
        <f>IF(Quizzes!J$2=$A114,Quizzes!J$46," ")</f>
        <v xml:space="preserve"> </v>
      </c>
      <c r="DG114" s="52" t="str">
        <f>IF(Quizzes!K$1=$A114,Quizzes!K$46," ")</f>
        <v xml:space="preserve"> </v>
      </c>
      <c r="DH114" s="52" t="str">
        <f>IF(Quizzes!K$2=$A114,Quizzes!K$46," ")</f>
        <v xml:space="preserve"> </v>
      </c>
      <c r="DI114" s="52" t="str">
        <f>IF(Quizzes!L$1=$A114,Quizzes!L$46," ")</f>
        <v xml:space="preserve"> </v>
      </c>
      <c r="DJ114" s="52" t="str">
        <f>IF(Quizzes!L$2=$A114,Quizzes!L$46," ")</f>
        <v xml:space="preserve"> </v>
      </c>
      <c r="DK114" s="52" t="str">
        <f>IF(Quizzes!M$1=$A114,Quizzes!M$46," ")</f>
        <v xml:space="preserve"> </v>
      </c>
      <c r="DL114" s="52" t="str">
        <f>IF(Quizzes!M$2=$A114,Quizzes!M$46," ")</f>
        <v xml:space="preserve"> </v>
      </c>
      <c r="DM114" s="52" t="str">
        <f>IF(Quizzes!N$1=$A114,Quizzes!N$46," ")</f>
        <v xml:space="preserve"> </v>
      </c>
      <c r="DN114" s="52" t="str">
        <f>IF(Quizzes!N$2=$A114,Quizzes!N$46," ")</f>
        <v xml:space="preserve"> </v>
      </c>
      <c r="DO114" s="52" t="str">
        <f>IF(Quizzes!O$1=$A114,Quizzes!O$46," ")</f>
        <v xml:space="preserve"> </v>
      </c>
      <c r="DP114" s="52" t="str">
        <f>IF(Quizzes!O$2=$A114,Quizzes!O$46," ")</f>
        <v xml:space="preserve"> </v>
      </c>
      <c r="DQ114" s="52" t="str">
        <f>IF(Quizzes!P$1=$A114,Quizzes!P$46," ")</f>
        <v xml:space="preserve"> </v>
      </c>
      <c r="DR114" s="52" t="str">
        <f>IF(Quizzes!P$2=$A114,Quizzes!P$46," ")</f>
        <v xml:space="preserve"> </v>
      </c>
      <c r="DS114" s="52" t="str">
        <f>IF(Quizzes!Q$1=$A114,Quizzes!Q$46," ")</f>
        <v xml:space="preserve"> </v>
      </c>
      <c r="DT114" s="52" t="str">
        <f>IF(Quizzes!Q$1=$A114,Quizzes!Q$46," ")</f>
        <v xml:space="preserve"> </v>
      </c>
      <c r="DV114" s="25" t="str">
        <f>IF('Midterm 1'!C$1=$A114,'Midterm 1'!C$47," ")</f>
        <v xml:space="preserve"> </v>
      </c>
      <c r="DW114" s="25" t="str">
        <f>IF('Midterm 1'!C$2=$A114,'Midterm 1'!C$47," ")</f>
        <v xml:space="preserve"> </v>
      </c>
      <c r="DX114" s="25" t="str">
        <f>IF('Midterm 1'!D$1=$A114,'Midterm 1'!D$47," ")</f>
        <v xml:space="preserve"> </v>
      </c>
      <c r="DY114" s="25" t="str">
        <f>IF('Midterm 1'!D$2=$A114,'Midterm 1'!D$47," ")</f>
        <v xml:space="preserve"> </v>
      </c>
      <c r="DZ114" s="25" t="str">
        <f>IF('Midterm 1'!E$1=$A114,'Midterm 1'!E$47," ")</f>
        <v xml:space="preserve"> </v>
      </c>
      <c r="EA114" s="25" t="str">
        <f>IF('Midterm 1'!E$2=$A114,'Midterm 1'!E$47," ")</f>
        <v xml:space="preserve"> </v>
      </c>
      <c r="EB114" s="25" t="str">
        <f>IF('Midterm 1'!F$1=$A114,'Midterm 1'!F$47," ")</f>
        <v xml:space="preserve"> </v>
      </c>
      <c r="EC114" s="25" t="str">
        <f>IF('Midterm 1'!F$2=$A114,'Midterm 1'!F$47," ")</f>
        <v xml:space="preserve"> </v>
      </c>
      <c r="ED114" s="25" t="str">
        <f>IF('Midterm 1'!G$1=$A114,'Midterm 1'!G$47," ")</f>
        <v xml:space="preserve"> </v>
      </c>
      <c r="EE114" s="25" t="str">
        <f>IF('Midterm 1'!G$2=$A114,'Midterm 1'!G$47," ")</f>
        <v xml:space="preserve"> </v>
      </c>
      <c r="EF114" s="25" t="str">
        <f>IF('Midterm 1'!H$1=$A114,'Midterm 1'!I$47," ")</f>
        <v xml:space="preserve"> </v>
      </c>
      <c r="EG114" s="25" t="str">
        <f>IF('Midterm 1'!H$2=$A114,'Midterm 1'!H$47," ")</f>
        <v xml:space="preserve"> </v>
      </c>
      <c r="EH114" s="25" t="str">
        <f>IF('Midterm 1'!I$1=$A114,'Midterm 1'!I$47," ")</f>
        <v xml:space="preserve"> </v>
      </c>
      <c r="EI114" s="25" t="str">
        <f>IF('Midterm 1'!I$2=$A114,'Midterm 1'!I$47," ")</f>
        <v xml:space="preserve"> </v>
      </c>
      <c r="EJ114" s="25" t="str">
        <f>IF('Midterm 1'!J$1=$A114,'Midterm 1'!J$47," ")</f>
        <v xml:space="preserve"> </v>
      </c>
      <c r="EK114" s="25" t="str">
        <f>IF('Midterm 1'!J$2=$A114,'Midterm 1'!J$47," ")</f>
        <v xml:space="preserve"> </v>
      </c>
      <c r="EL114" s="25" t="str">
        <f>IF('Midterm 1'!K$1=$A114,'Midterm 1'!K$47," ")</f>
        <v xml:space="preserve"> </v>
      </c>
      <c r="EM114" s="25" t="str">
        <f>IF('Midterm 1'!K$2=$A114,'Midterm 1'!K$47," ")</f>
        <v xml:space="preserve"> </v>
      </c>
      <c r="EN114" s="25" t="str">
        <f>IF('Midterm 1'!L$1=$A114,'Midterm 1'!L$47," ")</f>
        <v xml:space="preserve"> </v>
      </c>
      <c r="EO114" s="25" t="str">
        <f>IF('Midterm 1'!L$2=$A114,'Midterm 1'!L$47," ")</f>
        <v xml:space="preserve"> </v>
      </c>
      <c r="EP114" s="25" t="str">
        <f>IF('Midterm 1'!M$1=$A114,'Midterm 1'!M$47," ")</f>
        <v xml:space="preserve"> </v>
      </c>
      <c r="EQ114" s="25" t="str">
        <f>IF('Midterm 1'!M$2=$A114,'Midterm 1'!M$47," ")</f>
        <v xml:space="preserve"> </v>
      </c>
      <c r="ER114" s="25" t="str">
        <f>IF('Midterm 1'!N$1=$A114,'Midterm 1'!N$47," ")</f>
        <v xml:space="preserve"> </v>
      </c>
      <c r="ES114" s="25" t="str">
        <f>IF('Midterm 1'!N$2=$A114,'Midterm 1'!N$47," ")</f>
        <v xml:space="preserve"> </v>
      </c>
      <c r="ET114" s="25" t="str">
        <f>IF('Midterm 1'!O$1=$A114,'Midterm 1'!O$47," ")</f>
        <v xml:space="preserve"> </v>
      </c>
      <c r="EU114" s="25" t="str">
        <f>IF('Midterm 1'!O$2=$A114,'Midterm 1'!O$47," ")</f>
        <v xml:space="preserve"> </v>
      </c>
      <c r="EV114" s="25" t="str">
        <f>IF('Midterm 1'!P$1=$A114,'Midterm 1'!P$47," ")</f>
        <v xml:space="preserve"> </v>
      </c>
      <c r="EW114" s="25" t="str">
        <f>IF('Midterm 1'!P$2=$A114,'Midterm 1'!P$47," ")</f>
        <v xml:space="preserve"> </v>
      </c>
      <c r="EX114" s="25" t="str">
        <f>IF('Midterm 1'!Q$1=$A114,'Midterm 1'!Q$47," ")</f>
        <v xml:space="preserve"> </v>
      </c>
      <c r="EY114" s="25" t="str">
        <f>IF('Midterm 1'!Q$2=$A114,'Midterm 1'!Q$47," ")</f>
        <v xml:space="preserve"> </v>
      </c>
      <c r="EZ114" s="25" t="str">
        <f>IF('Midterm 1'!R$1=$A114,'Midterm 1'!R$47," ")</f>
        <v xml:space="preserve"> </v>
      </c>
      <c r="FA114" s="25" t="str">
        <f>IF('Midterm 1'!R$2=$A114,'Midterm 1'!R$47," ")</f>
        <v xml:space="preserve"> </v>
      </c>
      <c r="FB114" s="25" t="str">
        <f>IF('Midterm 1'!S$1=$A114,'Midterm 1'!S$47," ")</f>
        <v xml:space="preserve"> </v>
      </c>
      <c r="FC114" s="25" t="str">
        <f>IF('Midterm 1'!S$2=$A114,'Midterm 1'!S$47," ")</f>
        <v xml:space="preserve"> </v>
      </c>
      <c r="FD114" s="25" t="str">
        <f>IF('Midterm 1'!T$1=$A114,'Midterm 1'!T$47," ")</f>
        <v xml:space="preserve"> </v>
      </c>
      <c r="FE114" s="25" t="str">
        <f>IF('Midterm 1'!T$2=$A114,'Midterm 1'!T$47," ")</f>
        <v xml:space="preserve"> </v>
      </c>
      <c r="FF114" s="25" t="str">
        <f>IF('Midterm 1'!U$1=$A114,'Midterm 1'!U$47," ")</f>
        <v xml:space="preserve"> </v>
      </c>
      <c r="FG114" s="25" t="str">
        <f>IF('Midterm 1'!U$2=$A114,'Midterm 1'!U$47," ")</f>
        <v xml:space="preserve"> </v>
      </c>
      <c r="FH114" s="25" t="str">
        <f>IF('Midterm 1'!V$1=$A114,'Midterm 1'!V$47," ")</f>
        <v xml:space="preserve"> </v>
      </c>
      <c r="FI114" s="25" t="str">
        <f>IF('Midterm 1'!V$2=$A114,'Midterm 1'!V$47," ")</f>
        <v xml:space="preserve"> </v>
      </c>
      <c r="FJ114" s="25" t="str">
        <f>IF('Midterm 1'!W$1=$A114,'Midterm 1'!W$47," ")</f>
        <v xml:space="preserve"> </v>
      </c>
      <c r="FK114" s="25" t="str">
        <f>IF('Midterm 1'!W$2=$A114,'Midterm 1'!W$47," ")</f>
        <v xml:space="preserve"> </v>
      </c>
      <c r="FL114" s="25" t="str">
        <f>IF('Midterm 1'!X$1=$A114,'Midterm 1'!X$47," ")</f>
        <v xml:space="preserve"> </v>
      </c>
      <c r="FM114" s="25" t="str">
        <f>IF('Midterm 1'!X$2=$A114,'Midterm 1'!X$47," ")</f>
        <v xml:space="preserve"> </v>
      </c>
      <c r="FN114" s="25" t="str">
        <f>IF('Midterm 1'!Y$1=$A114,'Midterm 1'!Y$47," ")</f>
        <v xml:space="preserve"> </v>
      </c>
      <c r="FO114" s="25" t="str">
        <f>IF('Midterm 1'!Y$2=$A114,'Midterm 1'!Y$47," ")</f>
        <v xml:space="preserve"> </v>
      </c>
      <c r="FP114" s="25" t="str">
        <f>IF('Midterm 1'!Z$1=$A114,'Midterm 1'!Z$47," ")</f>
        <v xml:space="preserve"> </v>
      </c>
      <c r="FQ114" s="25" t="str">
        <f>IF('Midterm 1'!Z$2=$A114,'Midterm 1'!Z$47," ")</f>
        <v xml:space="preserve"> </v>
      </c>
      <c r="FR114" s="25" t="str">
        <f>IF('Midterm 1'!AA$1=$A114,'Midterm 1'!AA$47," ")</f>
        <v xml:space="preserve"> </v>
      </c>
      <c r="FS114" s="25" t="str">
        <f>IF('Midterm 1'!AA$2=$A114,'Midterm 1'!AA$47," ")</f>
        <v xml:space="preserve"> </v>
      </c>
      <c r="FT114" s="25" t="str">
        <f>IF('Midterm 1'!AB$1=$A114,'Midterm 1'!AB$47," ")</f>
        <v xml:space="preserve"> </v>
      </c>
      <c r="FU114" s="25" t="str">
        <f>IF('Midterm 1'!AB$2=$A114,'Midterm 1'!AB$47," ")</f>
        <v xml:space="preserve"> </v>
      </c>
      <c r="FV114" s="25" t="str">
        <f>IF('Midterm 1'!AC$1=$A114,'Midterm 1'!AC$47," ")</f>
        <v xml:space="preserve"> </v>
      </c>
      <c r="FW114" s="25" t="str">
        <f>IF('Midterm 1'!AC$2=$A114,'Midterm 1'!AC$47," ")</f>
        <v xml:space="preserve"> </v>
      </c>
      <c r="FX114" s="25" t="str">
        <f>IF('Midterm 1'!AD$1=$A114,'Midterm 1'!AD$47," ")</f>
        <v xml:space="preserve"> </v>
      </c>
      <c r="FY114" s="25" t="str">
        <f>IF('Midterm 1'!AD$2=$A114,'Midterm 1'!AD$47," ")</f>
        <v xml:space="preserve"> </v>
      </c>
      <c r="FZ114" s="25" t="str">
        <f>IF('Midterm 1'!AE$1=$A114,'Midterm 1'!AE$47," ")</f>
        <v xml:space="preserve"> </v>
      </c>
      <c r="GA114" s="25" t="str">
        <f>IF('Midterm 1'!AE$2=$A114,'Midterm 1'!AE$47," ")</f>
        <v xml:space="preserve"> </v>
      </c>
      <c r="GB114" s="25" t="str">
        <f>IF('Midterm 1'!AF$1=$A114,'Midterm 1'!AF$47," ")</f>
        <v xml:space="preserve"> </v>
      </c>
      <c r="GC114" s="25" t="str">
        <f>IF('Midterm 1'!AF$2=$A114,'Midterm 1'!AF$47," ")</f>
        <v xml:space="preserve"> </v>
      </c>
      <c r="GE114" s="25" t="str">
        <f>IF('Midterm 2'!C$1=$A114,'Midterm 2'!C$47," ")</f>
        <v xml:space="preserve"> </v>
      </c>
      <c r="GF114" s="25" t="str">
        <f>IF('Midterm 2'!C$2=$A114,'Midterm 2'!C$47," ")</f>
        <v xml:space="preserve"> </v>
      </c>
      <c r="GG114" s="25" t="str">
        <f>IF('Midterm 2'!D$1=$A114,'Midterm 2'!D$47," ")</f>
        <v xml:space="preserve"> </v>
      </c>
      <c r="GH114" s="25" t="str">
        <f>IF('Midterm 2'!D$2=$A114,'Midterm 2'!D$47," ")</f>
        <v xml:space="preserve"> </v>
      </c>
      <c r="GI114" s="25" t="str">
        <f>IF('Midterm 2'!E$1=$A114,'Midterm 2'!E$47," ")</f>
        <v xml:space="preserve"> </v>
      </c>
      <c r="GJ114" s="25" t="str">
        <f>IF('Midterm 2'!E$2=$A114,'Midterm 2'!E$47," ")</f>
        <v xml:space="preserve"> </v>
      </c>
      <c r="GK114" s="25" t="str">
        <f>IF('Midterm 2'!F$1=$A114,'Midterm 2'!F$47," ")</f>
        <v xml:space="preserve"> </v>
      </c>
      <c r="GL114" s="25" t="str">
        <f>IF('Midterm 2'!F$2=$A114,'Midterm 2'!F$47," ")</f>
        <v xml:space="preserve"> </v>
      </c>
      <c r="GM114" s="25" t="str">
        <f>IF('Midterm 2'!G$1=$A114,'Midterm 2'!G$47," ")</f>
        <v xml:space="preserve"> </v>
      </c>
      <c r="GN114" s="25" t="str">
        <f>IF('Midterm 2'!G$2=$A114,'Midterm 2'!G$47," ")</f>
        <v xml:space="preserve"> </v>
      </c>
      <c r="GO114" s="25" t="str">
        <f>IF('Midterm 2'!H$1=$A114,'Midterm 2'!H$47," ")</f>
        <v xml:space="preserve"> </v>
      </c>
      <c r="GP114" s="25" t="str">
        <f>IF('Midterm 2'!H$2=$A114,'Midterm 2'!H$47," ")</f>
        <v xml:space="preserve"> </v>
      </c>
      <c r="GQ114" s="25" t="str">
        <f>IF('Midterm 2'!I$1=$A114,'Midterm 2'!I$47," ")</f>
        <v xml:space="preserve"> </v>
      </c>
      <c r="GR114" s="25" t="str">
        <f>IF('Midterm 2'!I$2=$A114,'Midterm 2'!I$47," ")</f>
        <v xml:space="preserve"> </v>
      </c>
      <c r="GS114" s="25" t="str">
        <f>IF('Midterm 2'!J$1=$A114,'Midterm 2'!J$47," ")</f>
        <v xml:space="preserve"> </v>
      </c>
      <c r="GT114" s="25" t="str">
        <f>IF('Midterm 2'!J$2=$A114,'Midterm 2'!J$47," ")</f>
        <v xml:space="preserve"> </v>
      </c>
      <c r="GU114" s="25" t="str">
        <f>IF('Midterm 2'!K$1=$A114,'Midterm 2'!K$47," ")</f>
        <v xml:space="preserve"> </v>
      </c>
      <c r="GV114" s="25" t="str">
        <f>IF('Midterm 2'!K$2=$A114,'Midterm 2'!K$47," ")</f>
        <v xml:space="preserve"> </v>
      </c>
      <c r="GW114" s="25" t="str">
        <f>IF('Midterm 2'!L$1=$A114,'Midterm 2'!L$47," ")</f>
        <v xml:space="preserve"> </v>
      </c>
      <c r="GX114" s="25" t="str">
        <f>IF('Midterm 2'!L$2=$A114,'Midterm 2'!L$47," ")</f>
        <v xml:space="preserve"> </v>
      </c>
      <c r="GY114" s="25" t="str">
        <f>IF('Midterm 2'!M$1=$A114,'Midterm 2'!M$47," ")</f>
        <v xml:space="preserve"> </v>
      </c>
      <c r="GZ114" s="25" t="str">
        <f>IF('Midterm 2'!M$2=$A114,'Midterm 2'!M$47," ")</f>
        <v xml:space="preserve"> </v>
      </c>
      <c r="HA114" s="25" t="str">
        <f>IF('Midterm 2'!N$1=$A114,'Midterm 2'!N$47," ")</f>
        <v xml:space="preserve"> </v>
      </c>
      <c r="HB114" s="25" t="str">
        <f>IF('Midterm 2'!N$2=$A114,'Midterm 2'!N$47," ")</f>
        <v xml:space="preserve"> </v>
      </c>
      <c r="HC114" s="25" t="str">
        <f>IF('Midterm 2'!O$1=$A114,'Midterm 2'!O$47," ")</f>
        <v xml:space="preserve"> </v>
      </c>
      <c r="HD114" s="25" t="str">
        <f>IF('Midterm 2'!O$2=$A114,'Midterm 2'!O$47," ")</f>
        <v xml:space="preserve"> </v>
      </c>
      <c r="HE114" s="25" t="str">
        <f>IF('Midterm 2'!P$1=$A114,'Midterm 2'!P$47," ")</f>
        <v xml:space="preserve"> </v>
      </c>
      <c r="HF114" s="25" t="str">
        <f>IF('Midterm 2'!P$2=$A114,'Midterm 2'!P$47," ")</f>
        <v xml:space="preserve"> </v>
      </c>
      <c r="HG114" s="25" t="str">
        <f>IF('Midterm 2'!Q$1=$A114,'Midterm 2'!Q$47," ")</f>
        <v xml:space="preserve"> </v>
      </c>
      <c r="HH114" s="25" t="str">
        <f>IF('Midterm 2'!Q$2=$A114,'Midterm 2'!Q$47," ")</f>
        <v xml:space="preserve"> </v>
      </c>
      <c r="HI114" s="25" t="str">
        <f>IF('Midterm 2'!R$1=$A114,'Midterm 2'!R$47," ")</f>
        <v xml:space="preserve"> </v>
      </c>
      <c r="HJ114" s="25" t="str">
        <f>IF('Midterm 2'!R$2=$A114,'Midterm 2'!R$47," ")</f>
        <v xml:space="preserve"> </v>
      </c>
      <c r="HK114" s="25" t="str">
        <f>IF('Midterm 2'!S$1=$A114,'Midterm 2'!S$47," ")</f>
        <v xml:space="preserve"> </v>
      </c>
      <c r="HL114" s="25" t="str">
        <f>IF('Midterm 2'!S$2=$A114,'Midterm 2'!S$47," ")</f>
        <v xml:space="preserve"> </v>
      </c>
      <c r="HM114" s="25" t="str">
        <f>IF('Midterm 2'!T$1=$A114,'Midterm 2'!T$47," ")</f>
        <v xml:space="preserve"> </v>
      </c>
      <c r="HN114" s="25" t="str">
        <f>IF('Midterm 2'!T$2=$A114,'Midterm 2'!T$47," ")</f>
        <v xml:space="preserve"> </v>
      </c>
      <c r="HO114" s="25" t="str">
        <f>IF('Midterm 2'!U$1=$A114,'Midterm 2'!U$47," ")</f>
        <v xml:space="preserve"> </v>
      </c>
      <c r="HP114" s="25" t="str">
        <f>IF('Midterm 2'!U$2=$A114,'Midterm 2'!U$47," ")</f>
        <v xml:space="preserve"> </v>
      </c>
      <c r="HQ114" s="25" t="str">
        <f>IF('Midterm 2'!V$1=$A114,'Midterm 2'!V$47," ")</f>
        <v xml:space="preserve"> </v>
      </c>
      <c r="HR114" s="25" t="str">
        <f>IF('Midterm 2'!V$2=$A114,'Midterm 2'!V$47," ")</f>
        <v xml:space="preserve"> </v>
      </c>
      <c r="HS114" s="25" t="str">
        <f>IF('Midterm 2'!W$1=$A114,'Midterm 2'!W$47," ")</f>
        <v xml:space="preserve"> </v>
      </c>
      <c r="HT114" s="25" t="str">
        <f>IF('Midterm 2'!W$2=$A114,'Midterm 2'!W$47," ")</f>
        <v xml:space="preserve"> </v>
      </c>
      <c r="HU114" s="25" t="str">
        <f>IF('Midterm 2'!X$1=$A114,'Midterm 2'!X$47," ")</f>
        <v xml:space="preserve"> </v>
      </c>
      <c r="HV114" s="25" t="str">
        <f>IF('Midterm 2'!X$2=$A114,'Midterm 2'!X$47," ")</f>
        <v xml:space="preserve"> </v>
      </c>
      <c r="HW114" s="25" t="str">
        <f>IF('Midterm 2'!Y$1=$A114,'Midterm 2'!Y$47," ")</f>
        <v xml:space="preserve"> </v>
      </c>
      <c r="HX114" s="25" t="str">
        <f>IF('Midterm 2'!Y$2=$A114,'Midterm 2'!Y$47," ")</f>
        <v xml:space="preserve"> </v>
      </c>
      <c r="HY114" s="25" t="str">
        <f>IF('Midterm 2'!Z$1=$A114,'Midterm 2'!Z$47," ")</f>
        <v xml:space="preserve"> </v>
      </c>
      <c r="HZ114" s="25" t="str">
        <f>IF('Midterm 2'!Z$2=$A114,'Midterm 2'!Z$47," ")</f>
        <v xml:space="preserve"> </v>
      </c>
      <c r="IA114" s="25" t="str">
        <f>IF('Midterm 2'!AA$1=$A114,'Midterm 2'!AA$47," ")</f>
        <v xml:space="preserve"> </v>
      </c>
      <c r="IB114" s="25" t="str">
        <f>IF('Midterm 2'!AA$2=$A114,'Midterm 2'!AA$47," ")</f>
        <v xml:space="preserve"> </v>
      </c>
      <c r="IC114" s="25" t="str">
        <f>IF('Midterm 2'!AB$1=$A114,'Midterm 2'!AB$47," ")</f>
        <v xml:space="preserve"> </v>
      </c>
      <c r="ID114" s="25" t="str">
        <f>IF('Midterm 2'!AB$2=$A114,'Midterm 2'!AB$47," ")</f>
        <v xml:space="preserve"> </v>
      </c>
      <c r="IE114" s="25" t="str">
        <f>IF('Midterm 2'!AC$1=$A114,'Midterm 2'!AC$47," ")</f>
        <v xml:space="preserve"> </v>
      </c>
      <c r="IF114" s="25" t="str">
        <f>IF('Midterm 2'!AC$2=$A114,'Midterm 2'!AC$47," ")</f>
        <v xml:space="preserve"> </v>
      </c>
      <c r="IG114" s="25" t="str">
        <f>IF('Midterm 2'!AD$1=$A114,'Midterm 2'!AD$47," ")</f>
        <v xml:space="preserve"> </v>
      </c>
      <c r="IH114" s="25" t="str">
        <f>IF('Midterm 2'!AD$2=$A114,'Midterm 2'!AD$47," ")</f>
        <v xml:space="preserve"> </v>
      </c>
      <c r="II114" s="25" t="str">
        <f>IF('Midterm 2'!AE$1=$A114,'Midterm 2'!AE$47," ")</f>
        <v xml:space="preserve"> </v>
      </c>
      <c r="IJ114" s="25" t="str">
        <f>IF('Midterm 2'!AE$2=$A114,'Midterm 2'!AE$47," ")</f>
        <v xml:space="preserve"> </v>
      </c>
      <c r="IK114" s="25" t="str">
        <f>IF('Midterm 2'!AF$1=$A114,'Midterm 2'!AF$47," ")</f>
        <v xml:space="preserve"> </v>
      </c>
      <c r="IL114" s="25" t="str">
        <f>IF('Midterm 2'!AF$2=$A114,'Midterm 2'!AF$47," ")</f>
        <v xml:space="preserve"> </v>
      </c>
      <c r="IM114" s="25" t="str">
        <f>IF('Midterm 2'!AG$1=$A114,'Midterm 2'!AG$47," ")</f>
        <v xml:space="preserve"> </v>
      </c>
      <c r="IN114" s="25" t="str">
        <f>IF('Midterm 2'!AG$2=$A114,'Midterm 2'!AG$47," ")</f>
        <v xml:space="preserve"> </v>
      </c>
      <c r="IO114" s="25" t="str">
        <f>IF('Midterm 2'!AH$1=$A114,'Midterm 2'!AH$47," ")</f>
        <v xml:space="preserve"> </v>
      </c>
      <c r="IP114" s="25" t="str">
        <f>IF('Midterm 2'!AH$2=$A114,'Midterm 2'!AF$47," ")</f>
        <v xml:space="preserve"> </v>
      </c>
      <c r="IR114" s="54" t="str">
        <f>IF('Final Exam'!C$1=$A114,'Final Exam'!C$46," ")</f>
        <v xml:space="preserve"> </v>
      </c>
      <c r="IS114" s="54" t="str">
        <f>IF('Final Exam'!C$2=$A114,'Final Exam'!C$46," ")</f>
        <v xml:space="preserve"> </v>
      </c>
      <c r="IT114" s="54" t="str">
        <f>IF('Final Exam'!D$1=$A114,'Final Exam'!D$46," ")</f>
        <v xml:space="preserve"> </v>
      </c>
      <c r="IU114" s="54" t="str">
        <f>IF('Final Exam'!D$2=$A114,'Final Exam'!D$46," ")</f>
        <v xml:space="preserve"> </v>
      </c>
      <c r="IV114" s="54" t="str">
        <f>IF('Final Exam'!E$1=$A114,'Final Exam'!E$46," ")</f>
        <v xml:space="preserve"> </v>
      </c>
      <c r="IW114" s="54" t="str">
        <f>IF('Final Exam'!E$2=$A114,'Final Exam'!E$46," ")</f>
        <v xml:space="preserve"> </v>
      </c>
      <c r="IX114" s="54" t="str">
        <f>IF('Final Exam'!F$1=$A114,'Final Exam'!F$46," ")</f>
        <v xml:space="preserve"> </v>
      </c>
      <c r="IY114" s="54" t="str">
        <f>IF('Final Exam'!F$2=$A114,'Final Exam'!F$46," ")</f>
        <v xml:space="preserve"> </v>
      </c>
      <c r="IZ114" s="54" t="str">
        <f>IF('Final Exam'!G$1=$A114,'Final Exam'!G$46," ")</f>
        <v xml:space="preserve"> </v>
      </c>
      <c r="JA114" s="54" t="str">
        <f>IF('Final Exam'!G$2=$A114,'Final Exam'!G$46," ")</f>
        <v xml:space="preserve"> </v>
      </c>
      <c r="JB114" s="54" t="str">
        <f>IF('Final Exam'!H$1=$A114,'Final Exam'!G$46," ")</f>
        <v xml:space="preserve"> </v>
      </c>
      <c r="JC114" s="54" t="str">
        <f>IF('Final Exam'!H$2=$A114,'Final Exam'!H$46," ")</f>
        <v xml:space="preserve"> </v>
      </c>
      <c r="JD114" s="54" t="str">
        <f>IF('Final Exam'!I$1=$A114,'Final Exam'!I$46," ")</f>
        <v xml:space="preserve"> </v>
      </c>
      <c r="JE114" s="54" t="str">
        <f>IF('Final Exam'!I$2=$A114,'Final Exam'!I$46," ")</f>
        <v xml:space="preserve"> </v>
      </c>
      <c r="JF114" s="54" t="str">
        <f>IF('Final Exam'!J$1=$A114,'Final Exam'!J$46," ")</f>
        <v xml:space="preserve"> </v>
      </c>
      <c r="JG114" s="54" t="str">
        <f>IF('Final Exam'!J$2=$A114,'Final Exam'!J$46," ")</f>
        <v xml:space="preserve"> </v>
      </c>
      <c r="JH114" s="54" t="str">
        <f>IF('Final Exam'!K$1=$A114,'Final Exam'!K$46," ")</f>
        <v xml:space="preserve"> </v>
      </c>
      <c r="JI114" s="54" t="str">
        <f>IF('Final Exam'!K$2=$A114,'Final Exam'!K$46," ")</f>
        <v xml:space="preserve"> </v>
      </c>
      <c r="JJ114" s="54" t="str">
        <f>IF('Final Exam'!L$1=$A114,'Final Exam'!L$46," ")</f>
        <v xml:space="preserve"> </v>
      </c>
      <c r="JK114" s="54" t="str">
        <f>IF('Final Exam'!L$2=$A114,'Final Exam'!L$46," ")</f>
        <v xml:space="preserve"> </v>
      </c>
      <c r="JL114" s="54" t="str">
        <f>IF('Final Exam'!M$1=$A114,'Final Exam'!M$46," ")</f>
        <v xml:space="preserve"> </v>
      </c>
      <c r="JM114" s="54" t="str">
        <f>IF('Final Exam'!M$2=$A114,'Final Exam'!M$46," ")</f>
        <v xml:space="preserve"> </v>
      </c>
      <c r="JN114" s="54" t="str">
        <f>IF('Final Exam'!N$1=$A114,'Final Exam'!N$46," ")</f>
        <v xml:space="preserve"> </v>
      </c>
      <c r="JO114" s="54" t="str">
        <f>IF('Final Exam'!N$2=$A114,'Final Exam'!N$46," ")</f>
        <v xml:space="preserve"> </v>
      </c>
      <c r="JP114" s="54" t="str">
        <f>IF('Final Exam'!O$1=$A114,'Final Exam'!O$46," ")</f>
        <v xml:space="preserve"> </v>
      </c>
      <c r="JQ114" s="54" t="str">
        <f>IF('Final Exam'!O$2=$A114,'Final Exam'!O$46," ")</f>
        <v xml:space="preserve"> </v>
      </c>
      <c r="JR114" s="54" t="str">
        <f>IF('Final Exam'!P$1=$A114,'Final Exam'!P$46," ")</f>
        <v xml:space="preserve"> </v>
      </c>
      <c r="JS114" s="54" t="str">
        <f>IF('Final Exam'!P$2=$A114,'Final Exam'!P$46," ")</f>
        <v xml:space="preserve"> </v>
      </c>
      <c r="JT114" s="54" t="str">
        <f>IF('Final Exam'!Q$1=$A114,'Final Exam'!Q$46," ")</f>
        <v xml:space="preserve"> </v>
      </c>
      <c r="JU114" s="54" t="str">
        <f>IF('Final Exam'!Q$2=$A114,'Final Exam'!Q$46," ")</f>
        <v xml:space="preserve"> </v>
      </c>
      <c r="JV114" s="54" t="str">
        <f>IF('Final Exam'!R$1=$A114,'Final Exam'!R$46," ")</f>
        <v xml:space="preserve"> </v>
      </c>
      <c r="JW114" s="54" t="str">
        <f>IF('Final Exam'!R$2=$A114,'Final Exam'!R$46," ")</f>
        <v xml:space="preserve"> </v>
      </c>
      <c r="JX114" s="54" t="str">
        <f>IF('Final Exam'!S$1=$A114,'Final Exam'!S$46," ")</f>
        <v xml:space="preserve"> </v>
      </c>
      <c r="JY114" s="54" t="str">
        <f>IF('Final Exam'!S$2=$A114,'Final Exam'!S$46," ")</f>
        <v xml:space="preserve"> </v>
      </c>
      <c r="JZ114" s="54" t="str">
        <f>IF('Final Exam'!T$1=$A114,'Final Exam'!T$46," ")</f>
        <v xml:space="preserve"> </v>
      </c>
      <c r="KA114" s="54" t="str">
        <f>IF('Final Exam'!T$2=$A114,'Final Exam'!T$46," ")</f>
        <v xml:space="preserve"> </v>
      </c>
      <c r="KB114" s="54" t="str">
        <f>IF('Final Exam'!U$1=$A114,'Final Exam'!U$46," ")</f>
        <v xml:space="preserve"> </v>
      </c>
      <c r="KC114" s="54" t="str">
        <f>IF('Final Exam'!U$2=$A114,'Final Exam'!U$46," ")</f>
        <v xml:space="preserve"> </v>
      </c>
      <c r="KD114" s="54" t="str">
        <f>IF('Final Exam'!V$1=$A114,'Final Exam'!V$46," ")</f>
        <v xml:space="preserve"> </v>
      </c>
      <c r="KE114" s="54" t="str">
        <f>IF('Final Exam'!V$2=$A114,'Final Exam'!V$46," ")</f>
        <v xml:space="preserve"> </v>
      </c>
      <c r="KF114" s="54" t="str">
        <f>IF('Final Exam'!W$1=$A114,'Final Exam'!W$46," ")</f>
        <v xml:space="preserve"> </v>
      </c>
      <c r="KG114" s="54" t="str">
        <f>IF('Final Exam'!W$2=$A114,'Final Exam'!W$46," ")</f>
        <v xml:space="preserve"> </v>
      </c>
      <c r="KH114" s="54" t="str">
        <f>IF('Final Exam'!X$1=$A114,'Final Exam'!X$46," ")</f>
        <v xml:space="preserve"> </v>
      </c>
      <c r="KI114" s="54" t="str">
        <f>IF('Final Exam'!X$2=$A114,'Final Exam'!X$46," ")</f>
        <v xml:space="preserve"> </v>
      </c>
      <c r="KJ114" s="54" t="str">
        <f>IF('Final Exam'!Y$1=$A114,'Final Exam'!Y$46," ")</f>
        <v xml:space="preserve"> </v>
      </c>
      <c r="KK114" s="54" t="str">
        <f>IF('Final Exam'!Y$2=$A114,'Final Exam'!Y$46," ")</f>
        <v xml:space="preserve"> </v>
      </c>
      <c r="KL114" s="54" t="str">
        <f>IF('Final Exam'!Z$1=$A114,'Final Exam'!Z$46," ")</f>
        <v xml:space="preserve"> </v>
      </c>
      <c r="KM114" s="54" t="str">
        <f>IF('Final Exam'!Z$2=$A114,'Final Exam'!Z$46," ")</f>
        <v xml:space="preserve"> </v>
      </c>
      <c r="KN114" s="54" t="str">
        <f>IF('Final Exam'!AA$1=$A114,'Final Exam'!AA$46," ")</f>
        <v xml:space="preserve"> </v>
      </c>
      <c r="KO114" s="54" t="str">
        <f>IF('Final Exam'!AA$2=$A114,'Final Exam'!AA$46," ")</f>
        <v xml:space="preserve"> </v>
      </c>
      <c r="KP114" s="54" t="str">
        <f>IF('Final Exam'!AB$1=$A114,'Final Exam'!AB$46," ")</f>
        <v xml:space="preserve"> </v>
      </c>
      <c r="KQ114" s="54" t="str">
        <f>IF('Final Exam'!AB$2=$A114,'Final Exam'!AB$46," ")</f>
        <v xml:space="preserve"> </v>
      </c>
      <c r="KR114" s="54" t="str">
        <f>IF('Final Exam'!AC$1=$A114,'Final Exam'!AC$46," ")</f>
        <v xml:space="preserve"> </v>
      </c>
      <c r="KS114" s="54" t="str">
        <f>IF('Final Exam'!AC$2=$A114,'Final Exam'!AC$46," ")</f>
        <v xml:space="preserve"> </v>
      </c>
      <c r="KT114" s="54" t="str">
        <f>IF('Final Exam'!AD$1=$A114,'Final Exam'!AD$46," ")</f>
        <v xml:space="preserve"> </v>
      </c>
      <c r="KU114" s="54" t="str">
        <f>IF('Final Exam'!AD$2=$A114,'Final Exam'!AD$46," ")</f>
        <v xml:space="preserve"> </v>
      </c>
      <c r="KV114" s="54" t="str">
        <f>IF('Final Exam'!AE$1=$A114,'Final Exam'!AE$46," ")</f>
        <v xml:space="preserve"> </v>
      </c>
      <c r="KW114" s="54" t="str">
        <f>IF('Final Exam'!AE$2=$A114,'Final Exam'!AE$46," ")</f>
        <v xml:space="preserve"> </v>
      </c>
      <c r="KX114" s="54" t="str">
        <f>IF('Final Exam'!AF$1=$A114,'Final Exam'!AF$46," ")</f>
        <v xml:space="preserve"> </v>
      </c>
      <c r="KY114" s="54" t="str">
        <f>IF('Final Exam'!AF$2=$A114,'Final Exam'!AF$46," ")</f>
        <v xml:space="preserve"> </v>
      </c>
      <c r="KZ114" s="54" t="str">
        <f>IF('Final Exam'!AG$1=$A114,'Final Exam'!AG$46," ")</f>
        <v xml:space="preserve"> </v>
      </c>
      <c r="LA114" s="54" t="str">
        <f>IF('Final Exam'!AG$2=$A114,'Final Exam'!AG$46," ")</f>
        <v xml:space="preserve"> </v>
      </c>
      <c r="LC114" s="180" t="str">
        <f>IF('Incomplete Final'!C$1=$A114,'Incomplete Final'!C$46," ")</f>
        <v xml:space="preserve"> </v>
      </c>
      <c r="LD114" s="180" t="str">
        <f>IF('Incomplete Final'!C$2=$A114,'Incomplete Final'!C$46," ")</f>
        <v xml:space="preserve"> </v>
      </c>
      <c r="LE114" s="180" t="str">
        <f>IF('Incomplete Final'!D$1=$A114,'Incomplete Final'!D$46," ")</f>
        <v xml:space="preserve"> </v>
      </c>
      <c r="LF114" s="180" t="str">
        <f>IF('Incomplete Final'!D$2=$A114,'Incomplete Final'!D$46," ")</f>
        <v xml:space="preserve"> </v>
      </c>
      <c r="LG114" s="180" t="str">
        <f>IF('Incomplete Final'!E$1=$A114,'Incomplete Final'!E$46," ")</f>
        <v xml:space="preserve"> </v>
      </c>
      <c r="LH114" s="180" t="str">
        <f>IF('Incomplete Final'!E$2=$A114,'Incomplete Final'!E$46," ")</f>
        <v xml:space="preserve"> </v>
      </c>
      <c r="LI114" s="180" t="str">
        <f>IF('Incomplete Final'!F$1=$A114,'Incomplete Final'!F$46," ")</f>
        <v xml:space="preserve"> </v>
      </c>
      <c r="LJ114" s="180" t="str">
        <f>IF('Incomplete Final'!F$2=$A114,'Incomplete Final'!F$46," ")</f>
        <v xml:space="preserve"> </v>
      </c>
      <c r="LK114" s="180" t="str">
        <f>IF('Incomplete Final'!G$1=$A114,'Incomplete Final'!G$46," ")</f>
        <v xml:space="preserve"> </v>
      </c>
      <c r="LL114" s="180" t="str">
        <f>IF('Incomplete Final'!G$2=$A114,'Incomplete Final'!G$46," ")</f>
        <v xml:space="preserve"> </v>
      </c>
      <c r="LM114" s="180" t="str">
        <f>IF('Incomplete Final'!H$1=$A114,'Incomplete Final'!H$46," ")</f>
        <v xml:space="preserve"> </v>
      </c>
      <c r="LN114" s="180" t="str">
        <f>IF('Incomplete Final'!H$2=$A114,'Incomplete Final'!H$46," ")</f>
        <v xml:space="preserve"> </v>
      </c>
      <c r="LO114" s="180" t="str">
        <f>IF('Incomplete Final'!I$1=$A114,'Incomplete Final'!I$46," ")</f>
        <v xml:space="preserve"> </v>
      </c>
      <c r="LP114" s="180" t="str">
        <f>IF('Incomplete Final'!I$2=$A114,'Incomplete Final'!I$46," ")</f>
        <v xml:space="preserve"> </v>
      </c>
      <c r="LQ114" s="180" t="str">
        <f>IF('Incomplete Final'!J$1=$A114,'Incomplete Final'!J$46," ")</f>
        <v xml:space="preserve"> </v>
      </c>
      <c r="LR114" s="180" t="str">
        <f>IF('Incomplete Final'!J$2=$A114,'Incomplete Final'!J$46," ")</f>
        <v xml:space="preserve"> </v>
      </c>
      <c r="LS114" s="180" t="str">
        <f>IF('Incomplete Final'!K$1=$A114,'Incomplete Final'!K$46," ")</f>
        <v xml:space="preserve"> </v>
      </c>
      <c r="LT114" s="180" t="str">
        <f>IF('Incomplete Final'!K$2=$A114,'Incomplete Final'!K$46," ")</f>
        <v xml:space="preserve"> </v>
      </c>
      <c r="LU114" s="180" t="str">
        <f>IF('Incomplete Final'!L$1=$A114,'Incomplete Final'!L$46," ")</f>
        <v xml:space="preserve"> </v>
      </c>
      <c r="LV114" s="180" t="str">
        <f>IF('Incomplete Final'!L$2=$A114,'Incomplete Final'!L$46," ")</f>
        <v xml:space="preserve"> </v>
      </c>
      <c r="LW114" s="180" t="str">
        <f>IF('Incomplete Final'!M$1=$A114,'Incomplete Final'!M$46," ")</f>
        <v xml:space="preserve"> </v>
      </c>
      <c r="LX114" s="180" t="str">
        <f>IF('Incomplete Final'!M$2=$A114,'Incomplete Final'!M$46," ")</f>
        <v xml:space="preserve"> </v>
      </c>
      <c r="LY114" s="180" t="str">
        <f>IF('Incomplete Final'!N$1=$A114,'Incomplete Final'!N$46," ")</f>
        <v xml:space="preserve"> </v>
      </c>
      <c r="LZ114" s="180" t="str">
        <f>IF('Incomplete Final'!N$2=$A114,'Incomplete Final'!N$46," ")</f>
        <v xml:space="preserve"> </v>
      </c>
      <c r="MA114" s="180" t="str">
        <f>IF('Incomplete Final'!O$1=$A114,'Incomplete Final'!O$46," ")</f>
        <v xml:space="preserve"> </v>
      </c>
      <c r="MB114" s="180" t="str">
        <f>IF('Incomplete Final'!O$2=$A114,'Incomplete Final'!AB$46," ")</f>
        <v xml:space="preserve"> </v>
      </c>
      <c r="MC114" s="180" t="str">
        <f>IF('Incomplete Final'!P$1=$A114,'Incomplete Final'!P$46," ")</f>
        <v xml:space="preserve"> </v>
      </c>
      <c r="MD114" s="180" t="str">
        <f>IF('Incomplete Final'!P$2=$A114,'Incomplete Final'!P$46," ")</f>
        <v xml:space="preserve"> </v>
      </c>
      <c r="ME114" s="180" t="str">
        <f>IF('Incomplete Final'!Q$1=$A114,'Incomplete Final'!Q$46," ")</f>
        <v xml:space="preserve"> </v>
      </c>
      <c r="MF114" s="180" t="str">
        <f>IF('Incomplete Final'!Q$2=$A114,'Incomplete Final'!Q$46," ")</f>
        <v xml:space="preserve"> </v>
      </c>
      <c r="MG114" s="180" t="str">
        <f>IF('Incomplete Final'!R$1=$A114,'Incomplete Final'!R$46," ")</f>
        <v xml:space="preserve"> </v>
      </c>
      <c r="MH114" s="180" t="str">
        <f>IF('Incomplete Final'!R$2=$A114,'Incomplete Final'!R$46," ")</f>
        <v xml:space="preserve"> </v>
      </c>
      <c r="MI114" s="180" t="str">
        <f>IF('Incomplete Final'!S$1=$A114,'Incomplete Final'!S$46," ")</f>
        <v xml:space="preserve"> </v>
      </c>
      <c r="MJ114" s="180" t="str">
        <f>IF('Incomplete Final'!S$2=$A114,'Incomplete Final'!S$46," ")</f>
        <v xml:space="preserve"> </v>
      </c>
      <c r="MK114" s="180" t="str">
        <f>IF('Incomplete Final'!T$1=$A114,'Incomplete Final'!T$46," ")</f>
        <v xml:space="preserve"> </v>
      </c>
      <c r="ML114" s="180" t="str">
        <f>IF('Incomplete Final'!T$2=$A114,'Incomplete Final'!T$46," ")</f>
        <v xml:space="preserve"> </v>
      </c>
      <c r="MM114" s="180" t="str">
        <f>IF('Incomplete Final'!U$1=$A114,'Incomplete Final'!U$46," ")</f>
        <v xml:space="preserve"> </v>
      </c>
      <c r="MN114" s="180" t="str">
        <f>IF('Incomplete Final'!U$2=$A114,'Incomplete Final'!U$46," ")</f>
        <v xml:space="preserve"> </v>
      </c>
      <c r="MO114" s="180" t="str">
        <f>IF('Incomplete Final'!V$1=$A114,'Incomplete Final'!V$46," ")</f>
        <v xml:space="preserve"> </v>
      </c>
      <c r="MP114" s="180" t="str">
        <f>IF('Incomplete Final'!V$2=$A114,'Incomplete Final'!V$46," ")</f>
        <v xml:space="preserve"> </v>
      </c>
      <c r="MQ114" s="180" t="str">
        <f>IF('Incomplete Final'!W$1=$A114,'Incomplete Final'!W$46," ")</f>
        <v xml:space="preserve"> </v>
      </c>
      <c r="MR114" s="180" t="str">
        <f>IF('Incomplete Final'!W$2=$A114,'Incomplete Final'!W$46," ")</f>
        <v xml:space="preserve"> </v>
      </c>
      <c r="MS114" s="180" t="str">
        <f>IF('Incomplete Final'!X$1=$A114,'Incomplete Final'!X$46," ")</f>
        <v xml:space="preserve"> </v>
      </c>
      <c r="MT114" s="180" t="str">
        <f>IF('Incomplete Final'!X$2=$A114,'Incomplete Final'!X$46," ")</f>
        <v xml:space="preserve"> </v>
      </c>
      <c r="MU114" s="180" t="str">
        <f>IF('Incomplete Final'!Y$1=$A114,'Incomplete Final'!Y$46," ")</f>
        <v xml:space="preserve"> </v>
      </c>
      <c r="MV114" s="180" t="str">
        <f>IF('Incomplete Final'!Y$2=$A114,'Incomplete Final'!Y$46," ")</f>
        <v xml:space="preserve"> </v>
      </c>
      <c r="MW114" s="180" t="str">
        <f>IF('Incomplete Final'!Z$1=$A114,'Incomplete Final'!Z$46," ")</f>
        <v xml:space="preserve"> </v>
      </c>
      <c r="MX114" s="180" t="str">
        <f>IF('Incomplete Final'!Z$2=$A114,'Incomplete Final'!Z$46," ")</f>
        <v xml:space="preserve"> </v>
      </c>
      <c r="MY114" s="180" t="str">
        <f>IF('Incomplete Final'!AA$1=$A114,'Incomplete Final'!AA$46," ")</f>
        <v xml:space="preserve"> </v>
      </c>
      <c r="MZ114" s="180" t="str">
        <f>IF('Incomplete Final'!AA$2=$A114,'Incomplete Final'!AA$46," ")</f>
        <v xml:space="preserve"> </v>
      </c>
      <c r="NA114" s="180" t="str">
        <f>IF('Incomplete Final'!AB$1=$A114,'Incomplete Final'!AB$46," ")</f>
        <v xml:space="preserve"> </v>
      </c>
      <c r="NB114" s="180" t="str">
        <f>IF('Incomplete Final'!AB$2=$A114,'Incomplete Final'!AB$46," ")</f>
        <v xml:space="preserve"> </v>
      </c>
      <c r="NC114" s="180" t="str">
        <f>IF('Incomplete Final'!AC$1=$A114,'Incomplete Final'!AC$46," ")</f>
        <v xml:space="preserve"> </v>
      </c>
      <c r="ND114" s="180" t="str">
        <f>IF('Incomplete Final'!AC$2=$A114,'Incomplete Final'!AC$46," ")</f>
        <v xml:space="preserve"> </v>
      </c>
      <c r="NE114" s="180" t="str">
        <f>IF('Incomplete Final'!AD$1=$A114,'Incomplete Final'!AD$46," ")</f>
        <v xml:space="preserve"> </v>
      </c>
      <c r="NF114" s="180" t="str">
        <f>IF('Incomplete Final'!AD$2=$A114,'Incomplete Final'!AD$46," ")</f>
        <v xml:space="preserve"> </v>
      </c>
      <c r="NG114" s="180" t="str">
        <f>IF('Incomplete Final'!AE$1=$A114,'Incomplete Final'!AE$46," ")</f>
        <v xml:space="preserve"> </v>
      </c>
      <c r="NH114" s="180" t="str">
        <f>IF('Incomplete Final'!AE$2=$A114,'Incomplete Final'!AE$46," ")</f>
        <v xml:space="preserve"> </v>
      </c>
      <c r="NI114" s="180" t="str">
        <f>IF('Incomplete Final'!AF$1=$A114,'Incomplete Final'!AF$46," ")</f>
        <v xml:space="preserve"> </v>
      </c>
      <c r="NJ114" s="180" t="str">
        <f>IF('Incomplete Final'!AF$2=$A114,'Incomplete Final'!AF$46," ")</f>
        <v xml:space="preserve"> </v>
      </c>
      <c r="NK114" s="180" t="str">
        <f>IF('Incomplete Final'!AG$1=$A114,'Incomplete Final'!AG$46," ")</f>
        <v xml:space="preserve"> </v>
      </c>
      <c r="NL114" s="180" t="str">
        <f>IF('Incomplete Final'!AG$2=$A114,'Incomplete Final'!AG$46," ")</f>
        <v xml:space="preserve"> </v>
      </c>
      <c r="NN114" s="53" t="str">
        <f>IF('Laboratory Final'!C$1=$A114,'Laboratory Final'!C$46," ")</f>
        <v xml:space="preserve"> </v>
      </c>
      <c r="NO114" s="53" t="str">
        <f>IF('Laboratory Final'!C$2=$A114,'Laboratory Final'!C$46," ")</f>
        <v xml:space="preserve"> </v>
      </c>
      <c r="NP114" s="53" t="str">
        <f>IF('Laboratory Final'!D$1=$A114,'Laboratory Final'!D$46," ")</f>
        <v xml:space="preserve"> </v>
      </c>
      <c r="NQ114" s="53" t="str">
        <f>IF('Laboratory Final'!D$2=$A114,'Laboratory Final'!D$46," ")</f>
        <v xml:space="preserve"> </v>
      </c>
      <c r="NR114" s="53" t="str">
        <f>IF('Laboratory Final'!E$1=$A114,'Laboratory Final'!E$46," ")</f>
        <v xml:space="preserve"> </v>
      </c>
      <c r="NS114" s="53" t="str">
        <f>IF('Laboratory Final'!E$2=$A114,'Laboratory Final'!E$46," ")</f>
        <v xml:space="preserve"> </v>
      </c>
      <c r="NT114" s="53" t="str">
        <f>IF('Laboratory Final'!F$1=$A114,'Laboratory Final'!F$46," ")</f>
        <v xml:space="preserve"> </v>
      </c>
      <c r="NU114" s="53" t="str">
        <f>IF('Laboratory Final'!F$2=$A114,'Laboratory Final'!F$46," ")</f>
        <v xml:space="preserve"> </v>
      </c>
      <c r="NV114" s="53" t="str">
        <f>IF('Laboratory Final'!G$1=$A114,'Laboratory Final'!G$46," ")</f>
        <v xml:space="preserve"> </v>
      </c>
      <c r="NW114" s="53" t="str">
        <f>IF('Laboratory Final'!G$2=$A114,'Laboratory Final'!G$46," ")</f>
        <v xml:space="preserve"> </v>
      </c>
      <c r="NX114" s="53" t="str">
        <f>IF('Laboratory Final'!H$1=$A114,'Laboratory Final'!H$46," ")</f>
        <v xml:space="preserve"> </v>
      </c>
      <c r="NY114" s="53" t="str">
        <f>IF('Laboratory Final'!H$2=$A114,'Laboratory Final'!H$46," ")</f>
        <v xml:space="preserve"> </v>
      </c>
      <c r="NZ114" s="53" t="str">
        <f>IF('Laboratory Final'!I$1=$A114,'Laboratory Final'!I$46," ")</f>
        <v xml:space="preserve"> </v>
      </c>
      <c r="OA114" s="53" t="str">
        <f>IF('Laboratory Final'!I$2=$A114,'Laboratory Final'!I$46," ")</f>
        <v xml:space="preserve"> </v>
      </c>
      <c r="OB114" s="53" t="str">
        <f>IF('Laboratory Final'!J$1=$A114,'Laboratory Final'!J$46," ")</f>
        <v xml:space="preserve"> </v>
      </c>
      <c r="OC114" s="53" t="str">
        <f>IF('Laboratory Final'!J$2=$A114,'Laboratory Final'!J$46," ")</f>
        <v xml:space="preserve"> </v>
      </c>
      <c r="OD114" s="53" t="str">
        <f>IF('Laboratory Final'!K$1=$A114,'Laboratory Final'!K$46," ")</f>
        <v xml:space="preserve"> </v>
      </c>
      <c r="OE114" s="53" t="str">
        <f>IF('Laboratory Final'!K$2=$A114,'Laboratory Final'!K$46," ")</f>
        <v xml:space="preserve"> </v>
      </c>
      <c r="OF114" s="53" t="str">
        <f>IF('Laboratory Final'!L$1=$A114,'Laboratory Final'!L$46," ")</f>
        <v xml:space="preserve"> </v>
      </c>
      <c r="OG114" s="53" t="str">
        <f>IF('Laboratory Final'!L$2=$A114,'Laboratory Final'!L$46," ")</f>
        <v xml:space="preserve"> </v>
      </c>
      <c r="OI114" s="192" t="e">
        <f t="shared" si="14"/>
        <v>#DIV/0!</v>
      </c>
    </row>
    <row r="115" spans="1:399" ht="18.75" x14ac:dyDescent="0.3">
      <c r="A115" s="48">
        <v>10</v>
      </c>
      <c r="B115" s="55">
        <f>IF(SUM(D115:LA115)=0,0,AVERAGE('Course Analysis'!D115:LA115))</f>
        <v>0</v>
      </c>
      <c r="D115" s="53" t="str">
        <f>IF(Project!C$1=$A115,Project!C$46," ")</f>
        <v xml:space="preserve"> </v>
      </c>
      <c r="E115" s="53" t="str">
        <f>IF(Project!C$2=$A115,Project!C$46," ")</f>
        <v xml:space="preserve"> </v>
      </c>
      <c r="F115" s="53" t="str">
        <f>IF(Project!D$1=$A115,Project!D$46," ")</f>
        <v xml:space="preserve"> </v>
      </c>
      <c r="G115" s="53" t="str">
        <f>IF(Project!D$2=$A115,Project!D$46," ")</f>
        <v xml:space="preserve"> </v>
      </c>
      <c r="H115" s="53" t="str">
        <f>IF(Project!E$1=$A115,Project!E$46," ")</f>
        <v xml:space="preserve"> </v>
      </c>
      <c r="I115" s="53" t="str">
        <f>IF(Project!E$2=$A115,Project!E$46," ")</f>
        <v xml:space="preserve"> </v>
      </c>
      <c r="J115" s="53" t="str">
        <f>IF(Project!F$1=$A115,Project!F$46," ")</f>
        <v xml:space="preserve"> </v>
      </c>
      <c r="K115" s="53" t="str">
        <f>IF(Project!F$2=$A115,Project!F$46," ")</f>
        <v xml:space="preserve"> </v>
      </c>
      <c r="L115" s="53" t="str">
        <f>IF(Project!G$1=$A115,Project!G$46," ")</f>
        <v xml:space="preserve"> </v>
      </c>
      <c r="M115" s="53" t="str">
        <f>IF(Project!G$2=$A115,Project!G$46," ")</f>
        <v xml:space="preserve"> </v>
      </c>
      <c r="N115" s="53" t="str">
        <f>IF(Project!H$1=$A115,Project!H$46," ")</f>
        <v xml:space="preserve"> </v>
      </c>
      <c r="O115" s="53" t="str">
        <f>IF(Project!H$2=$A115,Project!H$46," ")</f>
        <v xml:space="preserve"> </v>
      </c>
      <c r="P115" s="53" t="str">
        <f>IF(Project!I$1=$A115,Project!I$46," ")</f>
        <v xml:space="preserve"> </v>
      </c>
      <c r="Q115" s="53" t="str">
        <f>IF(Project!I$2=$A115,Project!I$46," ")</f>
        <v xml:space="preserve"> </v>
      </c>
      <c r="R115" s="53" t="str">
        <f>IF(Project!J$1=$A115,Project!J$46," ")</f>
        <v xml:space="preserve"> </v>
      </c>
      <c r="S115" s="53" t="str">
        <f>IF(Project!J$2=$A115,Project!J$46," ")</f>
        <v xml:space="preserve"> </v>
      </c>
      <c r="T115" s="53" t="str">
        <f>IF(Project!K$1=$A115,Project!K$46," ")</f>
        <v xml:space="preserve"> </v>
      </c>
      <c r="U115" s="53" t="str">
        <f>IF(Project!K$2=$A115,Project!K$46," ")</f>
        <v xml:space="preserve"> </v>
      </c>
      <c r="V115" s="53" t="str">
        <f>IF(Project!L$1=$A115,Project!L$46," ")</f>
        <v xml:space="preserve"> </v>
      </c>
      <c r="W115" s="53" t="str">
        <f>IF(Project!L$2=$A115,Project!L$46," ")</f>
        <v xml:space="preserve"> </v>
      </c>
      <c r="Y115" s="53" t="str">
        <f>IF(Homework!C$1=$A115,Homework!C$46," ")</f>
        <v xml:space="preserve"> </v>
      </c>
      <c r="Z115" s="53" t="str">
        <f>IF(Homework!C$2=$A115,Homework!C$46," ")</f>
        <v xml:space="preserve"> </v>
      </c>
      <c r="AA115" s="53" t="str">
        <f>IF(Homework!D$1=$A115,Homework!D$46," ")</f>
        <v xml:space="preserve"> </v>
      </c>
      <c r="AB115" s="53" t="str">
        <f>IF(Homework!D$2=$A115,Homework!D$46," ")</f>
        <v xml:space="preserve"> </v>
      </c>
      <c r="AC115" s="53" t="str">
        <f>IF(Homework!E$1=$A115,Homework!E$46," ")</f>
        <v xml:space="preserve"> </v>
      </c>
      <c r="AD115" s="53" t="str">
        <f>IF(Homework!E$2=$A115,Homework!E$46," ")</f>
        <v xml:space="preserve"> </v>
      </c>
      <c r="AE115" s="53" t="str">
        <f>IF(Homework!F$1=$A115,Homework!F$46," ")</f>
        <v xml:space="preserve"> </v>
      </c>
      <c r="AF115" s="53" t="str">
        <f>IF(Homework!F$2=$A115,Homework!F$46," ")</f>
        <v xml:space="preserve"> </v>
      </c>
      <c r="AG115" s="53" t="str">
        <f>IF(Homework!G$1=$A115,Homework!G$46," ")</f>
        <v xml:space="preserve"> </v>
      </c>
      <c r="AH115" s="53" t="str">
        <f>IF(Homework!G$2=$A115,Homework!G$46," ")</f>
        <v xml:space="preserve"> </v>
      </c>
      <c r="AI115" s="53" t="str">
        <f>IF(Homework!H$1=$A115,Homework!H$46," ")</f>
        <v xml:space="preserve"> </v>
      </c>
      <c r="AJ115" s="53" t="str">
        <f>IF(Homework!H$2=$A115,Homework!H$46," ")</f>
        <v xml:space="preserve"> </v>
      </c>
      <c r="AK115" s="53" t="str">
        <f>IF(Homework!I$1=$A115,Homework!I$46," ")</f>
        <v xml:space="preserve"> </v>
      </c>
      <c r="AL115" s="53" t="str">
        <f>IF(Homework!I$2=$A115,Homework!I$46," ")</f>
        <v xml:space="preserve"> </v>
      </c>
      <c r="AM115" s="53" t="str">
        <f>IF(Homework!J$1=$A115,Homework!J$46," ")</f>
        <v xml:space="preserve"> </v>
      </c>
      <c r="AN115" s="53" t="str">
        <f>IF(Homework!J$2=$A115,Homework!J$46," ")</f>
        <v xml:space="preserve"> </v>
      </c>
      <c r="AO115" s="53" t="str">
        <f>IF(Homework!K$1=$A115,Homework!K$46," ")</f>
        <v xml:space="preserve"> </v>
      </c>
      <c r="AP115" s="53" t="str">
        <f>IF(Homework!K$2=$A115,Homework!K$46," ")</f>
        <v xml:space="preserve"> </v>
      </c>
      <c r="AQ115" s="53" t="str">
        <f>IF(Homework!L$1=$A115,Homework!L$46," ")</f>
        <v xml:space="preserve"> </v>
      </c>
      <c r="AR115" s="53" t="str">
        <f>IF(Homework!L$2=$A115,Homework!L$46," ")</f>
        <v xml:space="preserve"> </v>
      </c>
      <c r="AS115" s="53" t="str">
        <f>IF(Homework!M$1=$A115,Homework!M$46," ")</f>
        <v xml:space="preserve"> </v>
      </c>
      <c r="AT115" s="53" t="str">
        <f>IF(Homework!M$2=$A115,Homework!M$46," ")</f>
        <v xml:space="preserve"> </v>
      </c>
      <c r="AU115" s="53" t="str">
        <f>IF(Homework!N$1=$A115,Homework!N$46," ")</f>
        <v xml:space="preserve"> </v>
      </c>
      <c r="AV115" s="53" t="str">
        <f>IF(Homework!N$2=$A115,Homework!N$46," ")</f>
        <v xml:space="preserve"> </v>
      </c>
      <c r="AW115" s="53" t="str">
        <f>IF(Homework!O$1=$A115,Homework!O$46," ")</f>
        <v xml:space="preserve"> </v>
      </c>
      <c r="AX115" s="53" t="str">
        <f>IF(Homework!O$2=$A115,Homework!O$46," ")</f>
        <v xml:space="preserve"> </v>
      </c>
      <c r="AY115" s="53" t="str">
        <f>IF(Homework!P$1=$A115,Homework!P$46," ")</f>
        <v xml:space="preserve"> </v>
      </c>
      <c r="AZ115" s="53" t="str">
        <f>IF(Homework!P$2=$A115,Homework!P$46," ")</f>
        <v xml:space="preserve"> </v>
      </c>
      <c r="BA115" s="53" t="str">
        <f>IF(Homework!Q$1=$A115,Homework!Q$46," ")</f>
        <v xml:space="preserve"> </v>
      </c>
      <c r="BB115" s="53" t="str">
        <f>IF(Homework!Q$2=$A115,Homework!Q$46," ")</f>
        <v xml:space="preserve"> </v>
      </c>
      <c r="BC115" s="53" t="str">
        <f>IF(Homework!R$1=$A115,Homework!R$46," ")</f>
        <v xml:space="preserve"> </v>
      </c>
      <c r="BD115" s="53" t="str">
        <f>IF(Homework!R$2=$A115,Homework!R$46," ")</f>
        <v xml:space="preserve"> </v>
      </c>
      <c r="BE115" s="53" t="str">
        <f>IF(Homework!S$1=$A115,Homework!S$46," ")</f>
        <v xml:space="preserve"> </v>
      </c>
      <c r="BF115" s="53" t="str">
        <f>IF(Homework!S$2=$A115,Homework!S$46," ")</f>
        <v xml:space="preserve"> </v>
      </c>
      <c r="BG115" s="53" t="str">
        <f>IF(Homework!T$1=$A115,Homework!T$46," ")</f>
        <v xml:space="preserve"> </v>
      </c>
      <c r="BH115" s="53" t="str">
        <f>IF(Homework!T$2=$A115,Homework!T$46," ")</f>
        <v xml:space="preserve"> </v>
      </c>
      <c r="BI115" s="53" t="str">
        <f>IF(Homework!U$1=$A115,Homework!U$46," ")</f>
        <v xml:space="preserve"> </v>
      </c>
      <c r="BJ115" s="53" t="str">
        <f>IF(Homework!U$2=$A115,Homework!U$46," ")</f>
        <v xml:space="preserve"> </v>
      </c>
      <c r="BK115" s="53" t="str">
        <f>IF(Homework!V$1=$A115,Homework!V$46," ")</f>
        <v xml:space="preserve"> </v>
      </c>
      <c r="BL115" s="53" t="str">
        <f>IF(Homework!V$2=$A115,Homework!V$46," ")</f>
        <v xml:space="preserve"> </v>
      </c>
      <c r="BN115" s="66" t="str">
        <f>IF(Laboratory!C$1=$A115,Laboratory!C$46," ")</f>
        <v xml:space="preserve"> </v>
      </c>
      <c r="BO115" s="66" t="str">
        <f>IF(Laboratory!C$2=$A115,Laboratory!C$46," ")</f>
        <v xml:space="preserve"> </v>
      </c>
      <c r="BP115" s="66" t="str">
        <f>IF(Laboratory!D$1=$A115,Laboratory!D$46," ")</f>
        <v xml:space="preserve"> </v>
      </c>
      <c r="BQ115" s="66" t="str">
        <f>IF(Laboratory!D$2=$A115,Laboratory!D$46," ")</f>
        <v xml:space="preserve"> </v>
      </c>
      <c r="BR115" s="66" t="str">
        <f>IF(Laboratory!E$1=$A115,Laboratory!E$46," ")</f>
        <v xml:space="preserve"> </v>
      </c>
      <c r="BS115" s="66" t="str">
        <f>IF(Laboratory!E$2=$A115,Laboratory!E$46," ")</f>
        <v xml:space="preserve"> </v>
      </c>
      <c r="BT115" s="66" t="str">
        <f>IF(Laboratory!F$1=$A115,Laboratory!F$46," ")</f>
        <v xml:space="preserve"> </v>
      </c>
      <c r="BU115" s="66" t="str">
        <f>IF(Laboratory!F$2=$A115,Laboratory!F$46," ")</f>
        <v xml:space="preserve"> </v>
      </c>
      <c r="BV115" s="66" t="str">
        <f>IF(Laboratory!G$1=$A115,Laboratory!G$46," ")</f>
        <v xml:space="preserve"> </v>
      </c>
      <c r="BW115" s="66" t="str">
        <f>IF(Laboratory!G$2=$A115,Laboratory!G$46," ")</f>
        <v xml:space="preserve"> </v>
      </c>
      <c r="BX115" s="66" t="str">
        <f>IF(Laboratory!H$1=$A115,Laboratory!H$46," ")</f>
        <v xml:space="preserve"> </v>
      </c>
      <c r="BY115" s="66" t="str">
        <f>IF(Laboratory!H$2=$A115,Laboratory!H$46," ")</f>
        <v xml:space="preserve"> </v>
      </c>
      <c r="BZ115" s="66"/>
      <c r="CA115" s="66" t="str">
        <f>IF(Laboratory!I$2=$A115,Laboratory!I$46," ")</f>
        <v xml:space="preserve"> </v>
      </c>
      <c r="CB115" s="66"/>
      <c r="CC115" s="66" t="str">
        <f>IF(Laboratory!J$2=$A115,Laboratory!J$46," ")</f>
        <v xml:space="preserve"> </v>
      </c>
      <c r="CD115" s="66" t="str">
        <f>IF(Laboratory!K$1=$A115,Laboratory!K$46," ")</f>
        <v xml:space="preserve"> </v>
      </c>
      <c r="CE115" s="66" t="str">
        <f>IF(Laboratory!K$2=$A115,Laboratory!K$46," ")</f>
        <v xml:space="preserve"> </v>
      </c>
      <c r="CF115" s="66" t="str">
        <f>IF(Laboratory!L$1=$A115,Laboratory!L$46," ")</f>
        <v xml:space="preserve"> </v>
      </c>
      <c r="CG115" s="66" t="str">
        <f>IF(Laboratory!L$2=$A115,Laboratory!L$46," ")</f>
        <v xml:space="preserve"> </v>
      </c>
      <c r="CH115" s="66" t="str">
        <f>IF(Laboratory!M$1=$A115,Laboratory!M$46," ")</f>
        <v xml:space="preserve"> </v>
      </c>
      <c r="CI115" s="66" t="str">
        <f>IF(Laboratory!M$2=$A115,Laboratory!M$46," ")</f>
        <v xml:space="preserve"> </v>
      </c>
      <c r="CJ115" s="66" t="str">
        <f>IF(Laboratory!N$1=$A115,Laboratory!N$46," ")</f>
        <v xml:space="preserve"> </v>
      </c>
      <c r="CK115" s="66" t="str">
        <f>IF(Laboratory!N$2=$A115,Laboratory!N$46," ")</f>
        <v xml:space="preserve"> </v>
      </c>
      <c r="CL115" s="66" t="str">
        <f>IF(Laboratory!O$1=$A115,Laboratory!O$46," ")</f>
        <v xml:space="preserve"> </v>
      </c>
      <c r="CM115" s="66" t="str">
        <f>IF(Laboratory!O$2=$A115,Laboratory!O$46," ")</f>
        <v xml:space="preserve"> </v>
      </c>
      <c r="CN115" s="66" t="str">
        <f>IF(Laboratory!P$1=$A115,Laboratory!P$46," ")</f>
        <v xml:space="preserve"> </v>
      </c>
      <c r="CO115" s="66" t="str">
        <f>IF(Laboratory!P$2=$A115,Laboratory!P$46," ")</f>
        <v xml:space="preserve"> </v>
      </c>
      <c r="CQ115" s="52" t="str">
        <f>IF(Quizzes!C$1=$A115,Quizzes!C$46," ")</f>
        <v xml:space="preserve"> </v>
      </c>
      <c r="CR115" s="52" t="str">
        <f>IF(Quizzes!C$2=$A115,Quizzes!C$46," ")</f>
        <v xml:space="preserve"> </v>
      </c>
      <c r="CS115" s="52" t="str">
        <f>IF(Quizzes!D$1=$A115,Quizzes!D$46," ")</f>
        <v xml:space="preserve"> </v>
      </c>
      <c r="CT115" s="52" t="str">
        <f>IF(Quizzes!D$2=$A115,Quizzes!D$46," ")</f>
        <v xml:space="preserve"> </v>
      </c>
      <c r="CU115" s="52" t="str">
        <f>IF(Quizzes!E$1=$A115,Quizzes!E$46," ")</f>
        <v xml:space="preserve"> </v>
      </c>
      <c r="CV115" s="52" t="str">
        <f>IF(Quizzes!E$2=$A115,Quizzes!E$46," ")</f>
        <v xml:space="preserve"> </v>
      </c>
      <c r="CW115" s="52" t="str">
        <f>IF(Quizzes!F$1=$A115,Quizzes!F$46," ")</f>
        <v xml:space="preserve"> </v>
      </c>
      <c r="CX115" s="52" t="str">
        <f>IF(Quizzes!F$2=$A115,Quizzes!F$46," ")</f>
        <v xml:space="preserve"> </v>
      </c>
      <c r="CY115" s="52" t="str">
        <f>IF(Quizzes!G$1=$A115,Quizzes!G$46," ")</f>
        <v xml:space="preserve"> </v>
      </c>
      <c r="CZ115" s="52" t="str">
        <f>IF(Quizzes!G$2=$A115,Quizzes!G$46," ")</f>
        <v xml:space="preserve"> </v>
      </c>
      <c r="DA115" s="52" t="str">
        <f>IF(Quizzes!H$1=$A115,Quizzes!H$46," ")</f>
        <v xml:space="preserve"> </v>
      </c>
      <c r="DB115" s="52" t="str">
        <f>IF(Quizzes!H$2=$A115,Quizzes!H$46," ")</f>
        <v xml:space="preserve"> </v>
      </c>
      <c r="DC115" s="52" t="str">
        <f>IF(Quizzes!I$1=$A115,Quizzes!I$46," ")</f>
        <v xml:space="preserve"> </v>
      </c>
      <c r="DD115" s="52" t="str">
        <f>IF(Quizzes!I$2=$A115,Quizzes!I$46," ")</f>
        <v xml:space="preserve"> </v>
      </c>
      <c r="DE115" s="52" t="str">
        <f>IF(Quizzes!J$1=$A115,Quizzes!J$46," ")</f>
        <v xml:space="preserve"> </v>
      </c>
      <c r="DF115" s="52" t="str">
        <f>IF(Quizzes!J$2=$A115,Quizzes!J$46," ")</f>
        <v xml:space="preserve"> </v>
      </c>
      <c r="DG115" s="52" t="str">
        <f>IF(Quizzes!K$1=$A115,Quizzes!K$46," ")</f>
        <v xml:space="preserve"> </v>
      </c>
      <c r="DH115" s="52" t="str">
        <f>IF(Quizzes!K$2=$A115,Quizzes!K$46," ")</f>
        <v xml:space="preserve"> </v>
      </c>
      <c r="DI115" s="52" t="str">
        <f>IF(Quizzes!L$1=$A115,Quizzes!L$46," ")</f>
        <v xml:space="preserve"> </v>
      </c>
      <c r="DJ115" s="52" t="str">
        <f>IF(Quizzes!L$2=$A115,Quizzes!L$46," ")</f>
        <v xml:space="preserve"> </v>
      </c>
      <c r="DK115" s="52" t="str">
        <f>IF(Quizzes!M$1=$A115,Quizzes!M$46," ")</f>
        <v xml:space="preserve"> </v>
      </c>
      <c r="DL115" s="52" t="str">
        <f>IF(Quizzes!M$2=$A115,Quizzes!M$46," ")</f>
        <v xml:space="preserve"> </v>
      </c>
      <c r="DM115" s="52" t="str">
        <f>IF(Quizzes!N$1=$A115,Quizzes!N$46," ")</f>
        <v xml:space="preserve"> </v>
      </c>
      <c r="DN115" s="52" t="str">
        <f>IF(Quizzes!N$2=$A115,Quizzes!N$46," ")</f>
        <v xml:space="preserve"> </v>
      </c>
      <c r="DO115" s="52" t="str">
        <f>IF(Quizzes!O$1=$A115,Quizzes!O$46," ")</f>
        <v xml:space="preserve"> </v>
      </c>
      <c r="DP115" s="52" t="str">
        <f>IF(Quizzes!O$2=$A115,Quizzes!O$46," ")</f>
        <v xml:space="preserve"> </v>
      </c>
      <c r="DQ115" s="52" t="str">
        <f>IF(Quizzes!P$1=$A115,Quizzes!P$46," ")</f>
        <v xml:space="preserve"> </v>
      </c>
      <c r="DR115" s="52" t="str">
        <f>IF(Quizzes!P$2=$A115,Quizzes!P$46," ")</f>
        <v xml:space="preserve"> </v>
      </c>
      <c r="DS115" s="52" t="str">
        <f>IF(Quizzes!Q$1=$A115,Quizzes!Q$46," ")</f>
        <v xml:space="preserve"> </v>
      </c>
      <c r="DT115" s="52" t="str">
        <f>IF(Quizzes!Q$1=$A115,Quizzes!Q$46," ")</f>
        <v xml:space="preserve"> </v>
      </c>
      <c r="DV115" s="25" t="str">
        <f>IF('Midterm 1'!C$1=$A115,'Midterm 1'!C$47," ")</f>
        <v xml:space="preserve"> </v>
      </c>
      <c r="DW115" s="25" t="str">
        <f>IF('Midterm 1'!C$2=$A115,'Midterm 1'!C$47," ")</f>
        <v xml:space="preserve"> </v>
      </c>
      <c r="DX115" s="25" t="str">
        <f>IF('Midterm 1'!D$1=$A115,'Midterm 1'!D$47," ")</f>
        <v xml:space="preserve"> </v>
      </c>
      <c r="DY115" s="25" t="str">
        <f>IF('Midterm 1'!D$2=$A115,'Midterm 1'!D$47," ")</f>
        <v xml:space="preserve"> </v>
      </c>
      <c r="DZ115" s="25" t="str">
        <f>IF('Midterm 1'!E$1=$A115,'Midterm 1'!E$47," ")</f>
        <v xml:space="preserve"> </v>
      </c>
      <c r="EA115" s="25" t="str">
        <f>IF('Midterm 1'!E$2=$A115,'Midterm 1'!E$47," ")</f>
        <v xml:space="preserve"> </v>
      </c>
      <c r="EB115" s="25" t="str">
        <f>IF('Midterm 1'!F$1=$A115,'Midterm 1'!F$47," ")</f>
        <v xml:space="preserve"> </v>
      </c>
      <c r="EC115" s="25" t="str">
        <f>IF('Midterm 1'!F$2=$A115,'Midterm 1'!F$47," ")</f>
        <v xml:space="preserve"> </v>
      </c>
      <c r="ED115" s="25" t="str">
        <f>IF('Midterm 1'!G$1=$A115,'Midterm 1'!G$47," ")</f>
        <v xml:space="preserve"> </v>
      </c>
      <c r="EE115" s="25" t="str">
        <f>IF('Midterm 1'!G$2=$A115,'Midterm 1'!G$47," ")</f>
        <v xml:space="preserve"> </v>
      </c>
      <c r="EF115" s="25" t="str">
        <f>IF('Midterm 1'!H$1=$A115,'Midterm 1'!I$47," ")</f>
        <v xml:space="preserve"> </v>
      </c>
      <c r="EG115" s="25" t="str">
        <f>IF('Midterm 1'!H$2=$A115,'Midterm 1'!H$47," ")</f>
        <v xml:space="preserve"> </v>
      </c>
      <c r="EH115" s="25" t="str">
        <f>IF('Midterm 1'!I$1=$A115,'Midterm 1'!I$47," ")</f>
        <v xml:space="preserve"> </v>
      </c>
      <c r="EI115" s="25" t="str">
        <f>IF('Midterm 1'!I$2=$A115,'Midterm 1'!I$47," ")</f>
        <v xml:space="preserve"> </v>
      </c>
      <c r="EJ115" s="25" t="str">
        <f>IF('Midterm 1'!J$1=$A115,'Midterm 1'!J$47," ")</f>
        <v xml:space="preserve"> </v>
      </c>
      <c r="EK115" s="25" t="str">
        <f>IF('Midterm 1'!J$2=$A115,'Midterm 1'!J$47," ")</f>
        <v xml:space="preserve"> </v>
      </c>
      <c r="EL115" s="25" t="str">
        <f>IF('Midterm 1'!K$1=$A115,'Midterm 1'!K$47," ")</f>
        <v xml:space="preserve"> </v>
      </c>
      <c r="EM115" s="25" t="str">
        <f>IF('Midterm 1'!K$2=$A115,'Midterm 1'!K$47," ")</f>
        <v xml:space="preserve"> </v>
      </c>
      <c r="EN115" s="25" t="str">
        <f>IF('Midterm 1'!L$1=$A115,'Midterm 1'!L$47," ")</f>
        <v xml:space="preserve"> </v>
      </c>
      <c r="EO115" s="25" t="str">
        <f>IF('Midterm 1'!L$2=$A115,'Midterm 1'!L$47," ")</f>
        <v xml:space="preserve"> </v>
      </c>
      <c r="EP115" s="25" t="str">
        <f>IF('Midterm 1'!M$1=$A115,'Midterm 1'!M$47," ")</f>
        <v xml:space="preserve"> </v>
      </c>
      <c r="EQ115" s="25" t="str">
        <f>IF('Midterm 1'!M$2=$A115,'Midterm 1'!M$47," ")</f>
        <v xml:space="preserve"> </v>
      </c>
      <c r="ER115" s="25" t="str">
        <f>IF('Midterm 1'!N$1=$A115,'Midterm 1'!N$47," ")</f>
        <v xml:space="preserve"> </v>
      </c>
      <c r="ES115" s="25" t="str">
        <f>IF('Midterm 1'!N$2=$A115,'Midterm 1'!N$47," ")</f>
        <v xml:space="preserve"> </v>
      </c>
      <c r="ET115" s="25" t="str">
        <f>IF('Midterm 1'!O$1=$A115,'Midterm 1'!O$47," ")</f>
        <v xml:space="preserve"> </v>
      </c>
      <c r="EU115" s="25" t="str">
        <f>IF('Midterm 1'!O$2=$A115,'Midterm 1'!O$47," ")</f>
        <v xml:space="preserve"> </v>
      </c>
      <c r="EV115" s="25" t="str">
        <f>IF('Midterm 1'!P$1=$A115,'Midterm 1'!P$47," ")</f>
        <v xml:space="preserve"> </v>
      </c>
      <c r="EW115" s="25" t="str">
        <f>IF('Midterm 1'!P$2=$A115,'Midterm 1'!P$47," ")</f>
        <v xml:space="preserve"> </v>
      </c>
      <c r="EX115" s="25" t="str">
        <f>IF('Midterm 1'!Q$1=$A115,'Midterm 1'!Q$47," ")</f>
        <v xml:space="preserve"> </v>
      </c>
      <c r="EY115" s="25" t="str">
        <f>IF('Midterm 1'!Q$2=$A115,'Midterm 1'!Q$47," ")</f>
        <v xml:space="preserve"> </v>
      </c>
      <c r="EZ115" s="25" t="str">
        <f>IF('Midterm 1'!R$1=$A115,'Midterm 1'!R$47," ")</f>
        <v xml:space="preserve"> </v>
      </c>
      <c r="FA115" s="25" t="str">
        <f>IF('Midterm 1'!R$2=$A115,'Midterm 1'!R$47," ")</f>
        <v xml:space="preserve"> </v>
      </c>
      <c r="FB115" s="25" t="str">
        <f>IF('Midterm 1'!S$1=$A115,'Midterm 1'!S$47," ")</f>
        <v xml:space="preserve"> </v>
      </c>
      <c r="FC115" s="25" t="str">
        <f>IF('Midterm 1'!S$2=$A115,'Midterm 1'!S$47," ")</f>
        <v xml:space="preserve"> </v>
      </c>
      <c r="FD115" s="25" t="str">
        <f>IF('Midterm 1'!T$1=$A115,'Midterm 1'!T$47," ")</f>
        <v xml:space="preserve"> </v>
      </c>
      <c r="FE115" s="25" t="str">
        <f>IF('Midterm 1'!T$2=$A115,'Midterm 1'!T$47," ")</f>
        <v xml:space="preserve"> </v>
      </c>
      <c r="FF115" s="25" t="str">
        <f>IF('Midterm 1'!U$1=$A115,'Midterm 1'!U$47," ")</f>
        <v xml:space="preserve"> </v>
      </c>
      <c r="FG115" s="25" t="str">
        <f>IF('Midterm 1'!U$2=$A115,'Midterm 1'!U$47," ")</f>
        <v xml:space="preserve"> </v>
      </c>
      <c r="FH115" s="25" t="str">
        <f>IF('Midterm 1'!V$1=$A115,'Midterm 1'!V$47," ")</f>
        <v xml:space="preserve"> </v>
      </c>
      <c r="FI115" s="25" t="str">
        <f>IF('Midterm 1'!V$2=$A115,'Midterm 1'!V$47," ")</f>
        <v xml:space="preserve"> </v>
      </c>
      <c r="FJ115" s="25" t="str">
        <f>IF('Midterm 1'!W$1=$A115,'Midterm 1'!W$47," ")</f>
        <v xml:space="preserve"> </v>
      </c>
      <c r="FK115" s="25" t="str">
        <f>IF('Midterm 1'!W$2=$A115,'Midterm 1'!W$47," ")</f>
        <v xml:space="preserve"> </v>
      </c>
      <c r="FL115" s="25" t="str">
        <f>IF('Midterm 1'!X$1=$A115,'Midterm 1'!X$47," ")</f>
        <v xml:space="preserve"> </v>
      </c>
      <c r="FM115" s="25" t="str">
        <f>IF('Midterm 1'!X$2=$A115,'Midterm 1'!X$47," ")</f>
        <v xml:space="preserve"> </v>
      </c>
      <c r="FN115" s="25" t="str">
        <f>IF('Midterm 1'!Y$1=$A115,'Midterm 1'!Y$47," ")</f>
        <v xml:space="preserve"> </v>
      </c>
      <c r="FO115" s="25" t="str">
        <f>IF('Midterm 1'!Y$2=$A115,'Midterm 1'!Y$47," ")</f>
        <v xml:space="preserve"> </v>
      </c>
      <c r="FP115" s="25" t="str">
        <f>IF('Midterm 1'!Z$1=$A115,'Midterm 1'!Z$47," ")</f>
        <v xml:space="preserve"> </v>
      </c>
      <c r="FQ115" s="25" t="str">
        <f>IF('Midterm 1'!Z$2=$A115,'Midterm 1'!Z$47," ")</f>
        <v xml:space="preserve"> </v>
      </c>
      <c r="FR115" s="25" t="str">
        <f>IF('Midterm 1'!AA$1=$A115,'Midterm 1'!AA$47," ")</f>
        <v xml:space="preserve"> </v>
      </c>
      <c r="FS115" s="25" t="str">
        <f>IF('Midterm 1'!AA$2=$A115,'Midterm 1'!AA$47," ")</f>
        <v xml:space="preserve"> </v>
      </c>
      <c r="FT115" s="25" t="str">
        <f>IF('Midterm 1'!AB$1=$A115,'Midterm 1'!AB$47," ")</f>
        <v xml:space="preserve"> </v>
      </c>
      <c r="FU115" s="25" t="str">
        <f>IF('Midterm 1'!AB$2=$A115,'Midterm 1'!AB$47," ")</f>
        <v xml:space="preserve"> </v>
      </c>
      <c r="FV115" s="25" t="str">
        <f>IF('Midterm 1'!AC$1=$A115,'Midterm 1'!AC$47," ")</f>
        <v xml:space="preserve"> </v>
      </c>
      <c r="FW115" s="25" t="str">
        <f>IF('Midterm 1'!AC$2=$A115,'Midterm 1'!AC$47," ")</f>
        <v xml:space="preserve"> </v>
      </c>
      <c r="FX115" s="25" t="str">
        <f>IF('Midterm 1'!AD$1=$A115,'Midterm 1'!AD$47," ")</f>
        <v xml:space="preserve"> </v>
      </c>
      <c r="FY115" s="25" t="str">
        <f>IF('Midterm 1'!AD$2=$A115,'Midterm 1'!AD$47," ")</f>
        <v xml:space="preserve"> </v>
      </c>
      <c r="FZ115" s="25" t="str">
        <f>IF('Midterm 1'!AE$1=$A115,'Midterm 1'!AE$47," ")</f>
        <v xml:space="preserve"> </v>
      </c>
      <c r="GA115" s="25" t="str">
        <f>IF('Midterm 1'!AE$2=$A115,'Midterm 1'!AE$47," ")</f>
        <v xml:space="preserve"> </v>
      </c>
      <c r="GB115" s="25" t="str">
        <f>IF('Midterm 1'!AF$1=$A115,'Midterm 1'!AF$47," ")</f>
        <v xml:space="preserve"> </v>
      </c>
      <c r="GC115" s="25" t="str">
        <f>IF('Midterm 1'!AF$2=$A115,'Midterm 1'!AF$47," ")</f>
        <v xml:space="preserve"> </v>
      </c>
      <c r="GE115" s="25" t="str">
        <f>IF('Midterm 2'!C$1=$A115,'Midterm 2'!C$47," ")</f>
        <v xml:space="preserve"> </v>
      </c>
      <c r="GF115" s="25" t="str">
        <f>IF('Midterm 2'!C$2=$A115,'Midterm 2'!C$47," ")</f>
        <v xml:space="preserve"> </v>
      </c>
      <c r="GG115" s="25" t="str">
        <f>IF('Midterm 2'!D$1=$A115,'Midterm 2'!D$47," ")</f>
        <v xml:space="preserve"> </v>
      </c>
      <c r="GH115" s="25" t="str">
        <f>IF('Midterm 2'!D$2=$A115,'Midterm 2'!D$47," ")</f>
        <v xml:space="preserve"> </v>
      </c>
      <c r="GI115" s="25" t="str">
        <f>IF('Midterm 2'!E$1=$A115,'Midterm 2'!E$47," ")</f>
        <v xml:space="preserve"> </v>
      </c>
      <c r="GJ115" s="25" t="str">
        <f>IF('Midterm 2'!E$2=$A115,'Midterm 2'!E$47," ")</f>
        <v xml:space="preserve"> </v>
      </c>
      <c r="GK115" s="25" t="str">
        <f>IF('Midterm 2'!F$1=$A115,'Midterm 2'!F$47," ")</f>
        <v xml:space="preserve"> </v>
      </c>
      <c r="GL115" s="25" t="str">
        <f>IF('Midterm 2'!F$2=$A115,'Midterm 2'!F$47," ")</f>
        <v xml:space="preserve"> </v>
      </c>
      <c r="GM115" s="25" t="str">
        <f>IF('Midterm 2'!G$1=$A115,'Midterm 2'!G$47," ")</f>
        <v xml:space="preserve"> </v>
      </c>
      <c r="GN115" s="25" t="str">
        <f>IF('Midterm 2'!G$2=$A115,'Midterm 2'!G$47," ")</f>
        <v xml:space="preserve"> </v>
      </c>
      <c r="GO115" s="25" t="str">
        <f>IF('Midterm 2'!H$1=$A115,'Midterm 2'!H$47," ")</f>
        <v xml:space="preserve"> </v>
      </c>
      <c r="GP115" s="25" t="str">
        <f>IF('Midterm 2'!H$2=$A115,'Midterm 2'!H$47," ")</f>
        <v xml:space="preserve"> </v>
      </c>
      <c r="GQ115" s="25" t="str">
        <f>IF('Midterm 2'!I$1=$A115,'Midterm 2'!I$47," ")</f>
        <v xml:space="preserve"> </v>
      </c>
      <c r="GR115" s="25" t="str">
        <f>IF('Midterm 2'!I$2=$A115,'Midterm 2'!I$47," ")</f>
        <v xml:space="preserve"> </v>
      </c>
      <c r="GS115" s="25" t="str">
        <f>IF('Midterm 2'!J$1=$A115,'Midterm 2'!J$47," ")</f>
        <v xml:space="preserve"> </v>
      </c>
      <c r="GT115" s="25" t="str">
        <f>IF('Midterm 2'!J$2=$A115,'Midterm 2'!J$47," ")</f>
        <v xml:space="preserve"> </v>
      </c>
      <c r="GU115" s="25" t="str">
        <f>IF('Midterm 2'!K$1=$A115,'Midterm 2'!K$47," ")</f>
        <v xml:space="preserve"> </v>
      </c>
      <c r="GV115" s="25" t="str">
        <f>IF('Midterm 2'!K$2=$A115,'Midterm 2'!K$47," ")</f>
        <v xml:space="preserve"> </v>
      </c>
      <c r="GW115" s="25" t="str">
        <f>IF('Midterm 2'!L$1=$A115,'Midterm 2'!L$47," ")</f>
        <v xml:space="preserve"> </v>
      </c>
      <c r="GX115" s="25" t="str">
        <f>IF('Midterm 2'!L$2=$A115,'Midterm 2'!L$47," ")</f>
        <v xml:space="preserve"> </v>
      </c>
      <c r="GY115" s="25" t="str">
        <f>IF('Midterm 2'!M$1=$A115,'Midterm 2'!M$47," ")</f>
        <v xml:space="preserve"> </v>
      </c>
      <c r="GZ115" s="25" t="str">
        <f>IF('Midterm 2'!M$2=$A115,'Midterm 2'!M$47," ")</f>
        <v xml:space="preserve"> </v>
      </c>
      <c r="HA115" s="25" t="str">
        <f>IF('Midterm 2'!N$1=$A115,'Midterm 2'!N$47," ")</f>
        <v xml:space="preserve"> </v>
      </c>
      <c r="HB115" s="25" t="str">
        <f>IF('Midterm 2'!N$2=$A115,'Midterm 2'!N$47," ")</f>
        <v xml:space="preserve"> </v>
      </c>
      <c r="HC115" s="25" t="str">
        <f>IF('Midterm 2'!O$1=$A115,'Midterm 2'!O$47," ")</f>
        <v xml:space="preserve"> </v>
      </c>
      <c r="HD115" s="25" t="str">
        <f>IF('Midterm 2'!O$2=$A115,'Midterm 2'!O$47," ")</f>
        <v xml:space="preserve"> </v>
      </c>
      <c r="HE115" s="25" t="str">
        <f>IF('Midterm 2'!P$1=$A115,'Midterm 2'!P$47," ")</f>
        <v xml:space="preserve"> </v>
      </c>
      <c r="HF115" s="25" t="str">
        <f>IF('Midterm 2'!P$2=$A115,'Midterm 2'!P$47," ")</f>
        <v xml:space="preserve"> </v>
      </c>
      <c r="HG115" s="25" t="str">
        <f>IF('Midterm 2'!Q$1=$A115,'Midterm 2'!Q$47," ")</f>
        <v xml:space="preserve"> </v>
      </c>
      <c r="HH115" s="25" t="str">
        <f>IF('Midterm 2'!Q$2=$A115,'Midterm 2'!Q$47," ")</f>
        <v xml:space="preserve"> </v>
      </c>
      <c r="HI115" s="25" t="str">
        <f>IF('Midterm 2'!R$1=$A115,'Midterm 2'!R$47," ")</f>
        <v xml:space="preserve"> </v>
      </c>
      <c r="HJ115" s="25" t="str">
        <f>IF('Midterm 2'!R$2=$A115,'Midterm 2'!R$47," ")</f>
        <v xml:space="preserve"> </v>
      </c>
      <c r="HK115" s="25" t="str">
        <f>IF('Midterm 2'!S$1=$A115,'Midterm 2'!S$47," ")</f>
        <v xml:space="preserve"> </v>
      </c>
      <c r="HL115" s="25" t="str">
        <f>IF('Midterm 2'!S$2=$A115,'Midterm 2'!S$47," ")</f>
        <v xml:space="preserve"> </v>
      </c>
      <c r="HM115" s="25" t="str">
        <f>IF('Midterm 2'!T$1=$A115,'Midterm 2'!T$47," ")</f>
        <v xml:space="preserve"> </v>
      </c>
      <c r="HN115" s="25" t="str">
        <f>IF('Midterm 2'!T$2=$A115,'Midterm 2'!T$47," ")</f>
        <v xml:space="preserve"> </v>
      </c>
      <c r="HO115" s="25" t="str">
        <f>IF('Midterm 2'!U$1=$A115,'Midterm 2'!U$47," ")</f>
        <v xml:space="preserve"> </v>
      </c>
      <c r="HP115" s="25" t="str">
        <f>IF('Midterm 2'!U$2=$A115,'Midterm 2'!U$47," ")</f>
        <v xml:space="preserve"> </v>
      </c>
      <c r="HQ115" s="25" t="str">
        <f>IF('Midterm 2'!V$1=$A115,'Midterm 2'!V$47," ")</f>
        <v xml:space="preserve"> </v>
      </c>
      <c r="HR115" s="25" t="str">
        <f>IF('Midterm 2'!V$2=$A115,'Midterm 2'!V$47," ")</f>
        <v xml:space="preserve"> </v>
      </c>
      <c r="HS115" s="25" t="str">
        <f>IF('Midterm 2'!W$1=$A115,'Midterm 2'!W$47," ")</f>
        <v xml:space="preserve"> </v>
      </c>
      <c r="HT115" s="25" t="str">
        <f>IF('Midterm 2'!W$2=$A115,'Midterm 2'!W$47," ")</f>
        <v xml:space="preserve"> </v>
      </c>
      <c r="HU115" s="25" t="str">
        <f>IF('Midterm 2'!X$1=$A115,'Midterm 2'!X$47," ")</f>
        <v xml:space="preserve"> </v>
      </c>
      <c r="HV115" s="25" t="str">
        <f>IF('Midterm 2'!X$2=$A115,'Midterm 2'!X$47," ")</f>
        <v xml:space="preserve"> </v>
      </c>
      <c r="HW115" s="25" t="str">
        <f>IF('Midterm 2'!Y$1=$A115,'Midterm 2'!Y$47," ")</f>
        <v xml:space="preserve"> </v>
      </c>
      <c r="HX115" s="25" t="str">
        <f>IF('Midterm 2'!Y$2=$A115,'Midterm 2'!Y$47," ")</f>
        <v xml:space="preserve"> </v>
      </c>
      <c r="HY115" s="25" t="str">
        <f>IF('Midterm 2'!Z$1=$A115,'Midterm 2'!Z$47," ")</f>
        <v xml:space="preserve"> </v>
      </c>
      <c r="HZ115" s="25" t="str">
        <f>IF('Midterm 2'!Z$2=$A115,'Midterm 2'!Z$47," ")</f>
        <v xml:space="preserve"> </v>
      </c>
      <c r="IA115" s="25" t="str">
        <f>IF('Midterm 2'!AA$1=$A115,'Midterm 2'!AA$47," ")</f>
        <v xml:space="preserve"> </v>
      </c>
      <c r="IB115" s="25" t="str">
        <f>IF('Midterm 2'!AA$2=$A115,'Midterm 2'!AA$47," ")</f>
        <v xml:space="preserve"> </v>
      </c>
      <c r="IC115" s="25" t="str">
        <f>IF('Midterm 2'!AB$1=$A115,'Midterm 2'!AB$47," ")</f>
        <v xml:space="preserve"> </v>
      </c>
      <c r="ID115" s="25" t="str">
        <f>IF('Midterm 2'!AB$2=$A115,'Midterm 2'!AB$47," ")</f>
        <v xml:space="preserve"> </v>
      </c>
      <c r="IE115" s="25" t="str">
        <f>IF('Midterm 2'!AC$1=$A115,'Midterm 2'!AC$47," ")</f>
        <v xml:space="preserve"> </v>
      </c>
      <c r="IF115" s="25" t="str">
        <f>IF('Midterm 2'!AC$2=$A115,'Midterm 2'!AC$47," ")</f>
        <v xml:space="preserve"> </v>
      </c>
      <c r="IG115" s="25" t="str">
        <f>IF('Midterm 2'!AD$1=$A115,'Midterm 2'!AD$47," ")</f>
        <v xml:space="preserve"> </v>
      </c>
      <c r="IH115" s="25" t="str">
        <f>IF('Midterm 2'!AD$2=$A115,'Midterm 2'!AD$47," ")</f>
        <v xml:space="preserve"> </v>
      </c>
      <c r="II115" s="25" t="str">
        <f>IF('Midterm 2'!AE$1=$A115,'Midterm 2'!AE$47," ")</f>
        <v xml:space="preserve"> </v>
      </c>
      <c r="IJ115" s="25" t="str">
        <f>IF('Midterm 2'!AE$2=$A115,'Midterm 2'!AE$47," ")</f>
        <v xml:space="preserve"> </v>
      </c>
      <c r="IK115" s="25" t="str">
        <f>IF('Midterm 2'!AF$1=$A115,'Midterm 2'!AF$47," ")</f>
        <v xml:space="preserve"> </v>
      </c>
      <c r="IL115" s="25" t="str">
        <f>IF('Midterm 2'!AF$2=$A115,'Midterm 2'!AF$47," ")</f>
        <v xml:space="preserve"> </v>
      </c>
      <c r="IM115" s="25" t="str">
        <f>IF('Midterm 2'!AG$1=$A115,'Midterm 2'!AG$47," ")</f>
        <v xml:space="preserve"> </v>
      </c>
      <c r="IN115" s="25" t="str">
        <f>IF('Midterm 2'!AG$2=$A115,'Midterm 2'!AG$47," ")</f>
        <v xml:space="preserve"> </v>
      </c>
      <c r="IO115" s="25" t="str">
        <f>IF('Midterm 2'!AH$1=$A115,'Midterm 2'!AH$47," ")</f>
        <v xml:space="preserve"> </v>
      </c>
      <c r="IP115" s="25" t="str">
        <f>IF('Midterm 2'!AH$2=$A115,'Midterm 2'!AF$47," ")</f>
        <v xml:space="preserve"> </v>
      </c>
      <c r="IR115" s="54" t="str">
        <f>IF('Final Exam'!C$1=$A115,'Final Exam'!C$46," ")</f>
        <v xml:space="preserve"> </v>
      </c>
      <c r="IS115" s="54" t="str">
        <f>IF('Final Exam'!C$2=$A115,'Final Exam'!C$46," ")</f>
        <v xml:space="preserve"> </v>
      </c>
      <c r="IT115" s="54" t="str">
        <f>IF('Final Exam'!D$1=$A115,'Final Exam'!D$46," ")</f>
        <v xml:space="preserve"> </v>
      </c>
      <c r="IU115" s="54" t="str">
        <f>IF('Final Exam'!D$2=$A115,'Final Exam'!D$46," ")</f>
        <v xml:space="preserve"> </v>
      </c>
      <c r="IV115" s="54" t="str">
        <f>IF('Final Exam'!E$1=$A115,'Final Exam'!E$46," ")</f>
        <v xml:space="preserve"> </v>
      </c>
      <c r="IW115" s="54" t="str">
        <f>IF('Final Exam'!E$2=$A115,'Final Exam'!E$46," ")</f>
        <v xml:space="preserve"> </v>
      </c>
      <c r="IX115" s="54" t="str">
        <f>IF('Final Exam'!F$1=$A115,'Final Exam'!F$46," ")</f>
        <v xml:space="preserve"> </v>
      </c>
      <c r="IY115" s="54" t="str">
        <f>IF('Final Exam'!F$2=$A115,'Final Exam'!F$46," ")</f>
        <v xml:space="preserve"> </v>
      </c>
      <c r="IZ115" s="54" t="str">
        <f>IF('Final Exam'!G$1=$A115,'Final Exam'!G$46," ")</f>
        <v xml:space="preserve"> </v>
      </c>
      <c r="JA115" s="54" t="str">
        <f>IF('Final Exam'!G$2=$A115,'Final Exam'!G$46," ")</f>
        <v xml:space="preserve"> </v>
      </c>
      <c r="JB115" s="54" t="str">
        <f>IF('Final Exam'!H$1=$A115,'Final Exam'!G$46," ")</f>
        <v xml:space="preserve"> </v>
      </c>
      <c r="JC115" s="54" t="str">
        <f>IF('Final Exam'!H$2=$A115,'Final Exam'!H$46," ")</f>
        <v xml:space="preserve"> </v>
      </c>
      <c r="JD115" s="54" t="str">
        <f>IF('Final Exam'!I$1=$A115,'Final Exam'!I$46," ")</f>
        <v xml:space="preserve"> </v>
      </c>
      <c r="JE115" s="54" t="str">
        <f>IF('Final Exam'!I$2=$A115,'Final Exam'!I$46," ")</f>
        <v xml:space="preserve"> </v>
      </c>
      <c r="JF115" s="54" t="str">
        <f>IF('Final Exam'!J$1=$A115,'Final Exam'!J$46," ")</f>
        <v xml:space="preserve"> </v>
      </c>
      <c r="JG115" s="54" t="str">
        <f>IF('Final Exam'!J$2=$A115,'Final Exam'!J$46," ")</f>
        <v xml:space="preserve"> </v>
      </c>
      <c r="JH115" s="54" t="str">
        <f>IF('Final Exam'!K$1=$A115,'Final Exam'!K$46," ")</f>
        <v xml:space="preserve"> </v>
      </c>
      <c r="JI115" s="54" t="str">
        <f>IF('Final Exam'!K$2=$A115,'Final Exam'!K$46," ")</f>
        <v xml:space="preserve"> </v>
      </c>
      <c r="JJ115" s="54" t="str">
        <f>IF('Final Exam'!L$1=$A115,'Final Exam'!L$46," ")</f>
        <v xml:space="preserve"> </v>
      </c>
      <c r="JK115" s="54" t="str">
        <f>IF('Final Exam'!L$2=$A115,'Final Exam'!L$46," ")</f>
        <v xml:space="preserve"> </v>
      </c>
      <c r="JL115" s="54" t="str">
        <f>IF('Final Exam'!M$1=$A115,'Final Exam'!M$46," ")</f>
        <v xml:space="preserve"> </v>
      </c>
      <c r="JM115" s="54" t="str">
        <f>IF('Final Exam'!M$2=$A115,'Final Exam'!M$46," ")</f>
        <v xml:space="preserve"> </v>
      </c>
      <c r="JN115" s="54" t="str">
        <f>IF('Final Exam'!N$1=$A115,'Final Exam'!N$46," ")</f>
        <v xml:space="preserve"> </v>
      </c>
      <c r="JO115" s="54" t="str">
        <f>IF('Final Exam'!N$2=$A115,'Final Exam'!N$46," ")</f>
        <v xml:space="preserve"> </v>
      </c>
      <c r="JP115" s="54" t="str">
        <f>IF('Final Exam'!O$1=$A115,'Final Exam'!O$46," ")</f>
        <v xml:space="preserve"> </v>
      </c>
      <c r="JQ115" s="54" t="str">
        <f>IF('Final Exam'!O$2=$A115,'Final Exam'!O$46," ")</f>
        <v xml:space="preserve"> </v>
      </c>
      <c r="JR115" s="54" t="str">
        <f>IF('Final Exam'!P$1=$A115,'Final Exam'!P$46," ")</f>
        <v xml:space="preserve"> </v>
      </c>
      <c r="JS115" s="54" t="str">
        <f>IF('Final Exam'!P$2=$A115,'Final Exam'!P$46," ")</f>
        <v xml:space="preserve"> </v>
      </c>
      <c r="JT115" s="54" t="str">
        <f>IF('Final Exam'!Q$1=$A115,'Final Exam'!Q$46," ")</f>
        <v xml:space="preserve"> </v>
      </c>
      <c r="JU115" s="54" t="str">
        <f>IF('Final Exam'!Q$2=$A115,'Final Exam'!Q$46," ")</f>
        <v xml:space="preserve"> </v>
      </c>
      <c r="JV115" s="54" t="str">
        <f>IF('Final Exam'!R$1=$A115,'Final Exam'!R$46," ")</f>
        <v xml:space="preserve"> </v>
      </c>
      <c r="JW115" s="54" t="str">
        <f>IF('Final Exam'!R$2=$A115,'Final Exam'!R$46," ")</f>
        <v xml:space="preserve"> </v>
      </c>
      <c r="JX115" s="54" t="str">
        <f>IF('Final Exam'!S$1=$A115,'Final Exam'!S$46," ")</f>
        <v xml:space="preserve"> </v>
      </c>
      <c r="JY115" s="54" t="str">
        <f>IF('Final Exam'!S$2=$A115,'Final Exam'!S$46," ")</f>
        <v xml:space="preserve"> </v>
      </c>
      <c r="JZ115" s="54" t="str">
        <f>IF('Final Exam'!T$1=$A115,'Final Exam'!T$46," ")</f>
        <v xml:space="preserve"> </v>
      </c>
      <c r="KA115" s="54" t="str">
        <f>IF('Final Exam'!T$2=$A115,'Final Exam'!T$46," ")</f>
        <v xml:space="preserve"> </v>
      </c>
      <c r="KB115" s="54" t="str">
        <f>IF('Final Exam'!U$1=$A115,'Final Exam'!U$46," ")</f>
        <v xml:space="preserve"> </v>
      </c>
      <c r="KC115" s="54" t="str">
        <f>IF('Final Exam'!U$2=$A115,'Final Exam'!U$46," ")</f>
        <v xml:space="preserve"> </v>
      </c>
      <c r="KD115" s="54" t="str">
        <f>IF('Final Exam'!V$1=$A115,'Final Exam'!V$46," ")</f>
        <v xml:space="preserve"> </v>
      </c>
      <c r="KE115" s="54" t="str">
        <f>IF('Final Exam'!V$2=$A115,'Final Exam'!V$46," ")</f>
        <v xml:space="preserve"> </v>
      </c>
      <c r="KF115" s="54" t="str">
        <f>IF('Final Exam'!W$1=$A115,'Final Exam'!W$46," ")</f>
        <v xml:space="preserve"> </v>
      </c>
      <c r="KG115" s="54" t="str">
        <f>IF('Final Exam'!W$2=$A115,'Final Exam'!W$46," ")</f>
        <v xml:space="preserve"> </v>
      </c>
      <c r="KH115" s="54" t="str">
        <f>IF('Final Exam'!X$1=$A115,'Final Exam'!X$46," ")</f>
        <v xml:space="preserve"> </v>
      </c>
      <c r="KI115" s="54" t="str">
        <f>IF('Final Exam'!X$2=$A115,'Final Exam'!X$46," ")</f>
        <v xml:space="preserve"> </v>
      </c>
      <c r="KJ115" s="54" t="str">
        <f>IF('Final Exam'!Y$1=$A115,'Final Exam'!Y$46," ")</f>
        <v xml:space="preserve"> </v>
      </c>
      <c r="KK115" s="54" t="str">
        <f>IF('Final Exam'!Y$2=$A115,'Final Exam'!Y$46," ")</f>
        <v xml:space="preserve"> </v>
      </c>
      <c r="KL115" s="54" t="str">
        <f>IF('Final Exam'!Z$1=$A115,'Final Exam'!Z$46," ")</f>
        <v xml:space="preserve"> </v>
      </c>
      <c r="KM115" s="54" t="str">
        <f>IF('Final Exam'!Z$2=$A115,'Final Exam'!Z$46," ")</f>
        <v xml:space="preserve"> </v>
      </c>
      <c r="KN115" s="54" t="str">
        <f>IF('Final Exam'!AA$1=$A115,'Final Exam'!AA$46," ")</f>
        <v xml:space="preserve"> </v>
      </c>
      <c r="KO115" s="54" t="str">
        <f>IF('Final Exam'!AA$2=$A115,'Final Exam'!AA$46," ")</f>
        <v xml:space="preserve"> </v>
      </c>
      <c r="KP115" s="54" t="str">
        <f>IF('Final Exam'!AB$1=$A115,'Final Exam'!AB$46," ")</f>
        <v xml:space="preserve"> </v>
      </c>
      <c r="KQ115" s="54" t="str">
        <f>IF('Final Exam'!AB$2=$A115,'Final Exam'!AB$46," ")</f>
        <v xml:space="preserve"> </v>
      </c>
      <c r="KR115" s="54" t="str">
        <f>IF('Final Exam'!AC$1=$A115,'Final Exam'!AC$46," ")</f>
        <v xml:space="preserve"> </v>
      </c>
      <c r="KS115" s="54" t="str">
        <f>IF('Final Exam'!AC$2=$A115,'Final Exam'!AC$46," ")</f>
        <v xml:space="preserve"> </v>
      </c>
      <c r="KT115" s="54" t="str">
        <f>IF('Final Exam'!AD$1=$A115,'Final Exam'!AD$46," ")</f>
        <v xml:space="preserve"> </v>
      </c>
      <c r="KU115" s="54" t="str">
        <f>IF('Final Exam'!AD$2=$A115,'Final Exam'!AD$46," ")</f>
        <v xml:space="preserve"> </v>
      </c>
      <c r="KV115" s="54" t="str">
        <f>IF('Final Exam'!AE$1=$A115,'Final Exam'!AE$46," ")</f>
        <v xml:space="preserve"> </v>
      </c>
      <c r="KW115" s="54" t="str">
        <f>IF('Final Exam'!AE$2=$A115,'Final Exam'!AE$46," ")</f>
        <v xml:space="preserve"> </v>
      </c>
      <c r="KX115" s="54" t="str">
        <f>IF('Final Exam'!AF$1=$A115,'Final Exam'!AF$46," ")</f>
        <v xml:space="preserve"> </v>
      </c>
      <c r="KY115" s="54" t="str">
        <f>IF('Final Exam'!AF$2=$A115,'Final Exam'!AF$46," ")</f>
        <v xml:space="preserve"> </v>
      </c>
      <c r="KZ115" s="54" t="str">
        <f>IF('Final Exam'!AG$1=$A115,'Final Exam'!AG$46," ")</f>
        <v xml:space="preserve"> </v>
      </c>
      <c r="LA115" s="54" t="str">
        <f>IF('Final Exam'!AG$2=$A115,'Final Exam'!AG$46," ")</f>
        <v xml:space="preserve"> </v>
      </c>
      <c r="LC115" s="180" t="str">
        <f>IF('Incomplete Final'!C$1=$A115,'Incomplete Final'!C$46," ")</f>
        <v xml:space="preserve"> </v>
      </c>
      <c r="LD115" s="180" t="str">
        <f>IF('Incomplete Final'!C$2=$A115,'Incomplete Final'!C$46," ")</f>
        <v xml:space="preserve"> </v>
      </c>
      <c r="LE115" s="180" t="str">
        <f>IF('Incomplete Final'!D$1=$A115,'Incomplete Final'!D$46," ")</f>
        <v xml:space="preserve"> </v>
      </c>
      <c r="LF115" s="180" t="str">
        <f>IF('Incomplete Final'!D$2=$A115,'Incomplete Final'!D$46," ")</f>
        <v xml:space="preserve"> </v>
      </c>
      <c r="LG115" s="180" t="str">
        <f>IF('Incomplete Final'!E$1=$A115,'Incomplete Final'!E$46," ")</f>
        <v xml:space="preserve"> </v>
      </c>
      <c r="LH115" s="180" t="str">
        <f>IF('Incomplete Final'!E$2=$A115,'Incomplete Final'!E$46," ")</f>
        <v xml:space="preserve"> </v>
      </c>
      <c r="LI115" s="180" t="str">
        <f>IF('Incomplete Final'!F$1=$A115,'Incomplete Final'!F$46," ")</f>
        <v xml:space="preserve"> </v>
      </c>
      <c r="LJ115" s="180" t="str">
        <f>IF('Incomplete Final'!F$2=$A115,'Incomplete Final'!F$46," ")</f>
        <v xml:space="preserve"> </v>
      </c>
      <c r="LK115" s="180" t="str">
        <f>IF('Incomplete Final'!G$1=$A115,'Incomplete Final'!G$46," ")</f>
        <v xml:space="preserve"> </v>
      </c>
      <c r="LL115" s="180" t="str">
        <f>IF('Incomplete Final'!G$2=$A115,'Incomplete Final'!G$46," ")</f>
        <v xml:space="preserve"> </v>
      </c>
      <c r="LM115" s="180" t="str">
        <f>IF('Incomplete Final'!H$1=$A115,'Incomplete Final'!H$46," ")</f>
        <v xml:space="preserve"> </v>
      </c>
      <c r="LN115" s="180" t="str">
        <f>IF('Incomplete Final'!H$2=$A115,'Incomplete Final'!H$46," ")</f>
        <v xml:space="preserve"> </v>
      </c>
      <c r="LO115" s="180" t="str">
        <f>IF('Incomplete Final'!I$1=$A115,'Incomplete Final'!I$46," ")</f>
        <v xml:space="preserve"> </v>
      </c>
      <c r="LP115" s="180" t="str">
        <f>IF('Incomplete Final'!I$2=$A115,'Incomplete Final'!I$46," ")</f>
        <v xml:space="preserve"> </v>
      </c>
      <c r="LQ115" s="180" t="str">
        <f>IF('Incomplete Final'!J$1=$A115,'Incomplete Final'!J$46," ")</f>
        <v xml:space="preserve"> </v>
      </c>
      <c r="LR115" s="180" t="str">
        <f>IF('Incomplete Final'!J$2=$A115,'Incomplete Final'!J$46," ")</f>
        <v xml:space="preserve"> </v>
      </c>
      <c r="LS115" s="180" t="str">
        <f>IF('Incomplete Final'!K$1=$A115,'Incomplete Final'!K$46," ")</f>
        <v xml:space="preserve"> </v>
      </c>
      <c r="LT115" s="180" t="str">
        <f>IF('Incomplete Final'!K$2=$A115,'Incomplete Final'!K$46," ")</f>
        <v xml:space="preserve"> </v>
      </c>
      <c r="LU115" s="180" t="str">
        <f>IF('Incomplete Final'!L$1=$A115,'Incomplete Final'!L$46," ")</f>
        <v xml:space="preserve"> </v>
      </c>
      <c r="LV115" s="180" t="str">
        <f>IF('Incomplete Final'!L$2=$A115,'Incomplete Final'!L$46," ")</f>
        <v xml:space="preserve"> </v>
      </c>
      <c r="LW115" s="180" t="str">
        <f>IF('Incomplete Final'!M$1=$A115,'Incomplete Final'!M$46," ")</f>
        <v xml:space="preserve"> </v>
      </c>
      <c r="LX115" s="180" t="str">
        <f>IF('Incomplete Final'!M$2=$A115,'Incomplete Final'!M$46," ")</f>
        <v xml:space="preserve"> </v>
      </c>
      <c r="LY115" s="180" t="str">
        <f>IF('Incomplete Final'!N$1=$A115,'Incomplete Final'!N$46," ")</f>
        <v xml:space="preserve"> </v>
      </c>
      <c r="LZ115" s="180" t="str">
        <f>IF('Incomplete Final'!N$2=$A115,'Incomplete Final'!N$46," ")</f>
        <v xml:space="preserve"> </v>
      </c>
      <c r="MA115" s="180" t="str">
        <f>IF('Incomplete Final'!O$1=$A115,'Incomplete Final'!O$46," ")</f>
        <v xml:space="preserve"> </v>
      </c>
      <c r="MB115" s="180" t="str">
        <f>IF('Incomplete Final'!O$2=$A115,'Incomplete Final'!AB$46," ")</f>
        <v xml:space="preserve"> </v>
      </c>
      <c r="MC115" s="180" t="str">
        <f>IF('Incomplete Final'!P$1=$A115,'Incomplete Final'!P$46," ")</f>
        <v xml:space="preserve"> </v>
      </c>
      <c r="MD115" s="180" t="str">
        <f>IF('Incomplete Final'!P$2=$A115,'Incomplete Final'!P$46," ")</f>
        <v xml:space="preserve"> </v>
      </c>
      <c r="ME115" s="180" t="str">
        <f>IF('Incomplete Final'!Q$1=$A115,'Incomplete Final'!Q$46," ")</f>
        <v xml:space="preserve"> </v>
      </c>
      <c r="MF115" s="180" t="str">
        <f>IF('Incomplete Final'!Q$2=$A115,'Incomplete Final'!Q$46," ")</f>
        <v xml:space="preserve"> </v>
      </c>
      <c r="MG115" s="180" t="str">
        <f>IF('Incomplete Final'!R$1=$A115,'Incomplete Final'!R$46," ")</f>
        <v xml:space="preserve"> </v>
      </c>
      <c r="MH115" s="180" t="str">
        <f>IF('Incomplete Final'!R$2=$A115,'Incomplete Final'!R$46," ")</f>
        <v xml:space="preserve"> </v>
      </c>
      <c r="MI115" s="180" t="str">
        <f>IF('Incomplete Final'!S$1=$A115,'Incomplete Final'!S$46," ")</f>
        <v xml:space="preserve"> </v>
      </c>
      <c r="MJ115" s="180" t="str">
        <f>IF('Incomplete Final'!S$2=$A115,'Incomplete Final'!S$46," ")</f>
        <v xml:space="preserve"> </v>
      </c>
      <c r="MK115" s="180" t="str">
        <f>IF('Incomplete Final'!T$1=$A115,'Incomplete Final'!T$46," ")</f>
        <v xml:space="preserve"> </v>
      </c>
      <c r="ML115" s="180" t="str">
        <f>IF('Incomplete Final'!T$2=$A115,'Incomplete Final'!T$46," ")</f>
        <v xml:space="preserve"> </v>
      </c>
      <c r="MM115" s="180" t="str">
        <f>IF('Incomplete Final'!U$1=$A115,'Incomplete Final'!U$46," ")</f>
        <v xml:space="preserve"> </v>
      </c>
      <c r="MN115" s="180" t="str">
        <f>IF('Incomplete Final'!U$2=$A115,'Incomplete Final'!U$46," ")</f>
        <v xml:space="preserve"> </v>
      </c>
      <c r="MO115" s="180" t="str">
        <f>IF('Incomplete Final'!V$1=$A115,'Incomplete Final'!V$46," ")</f>
        <v xml:space="preserve"> </v>
      </c>
      <c r="MP115" s="180" t="str">
        <f>IF('Incomplete Final'!V$2=$A115,'Incomplete Final'!V$46," ")</f>
        <v xml:space="preserve"> </v>
      </c>
      <c r="MQ115" s="180" t="str">
        <f>IF('Incomplete Final'!W$1=$A115,'Incomplete Final'!W$46," ")</f>
        <v xml:space="preserve"> </v>
      </c>
      <c r="MR115" s="180" t="str">
        <f>IF('Incomplete Final'!W$2=$A115,'Incomplete Final'!W$46," ")</f>
        <v xml:space="preserve"> </v>
      </c>
      <c r="MS115" s="180" t="str">
        <f>IF('Incomplete Final'!X$1=$A115,'Incomplete Final'!X$46," ")</f>
        <v xml:space="preserve"> </v>
      </c>
      <c r="MT115" s="180" t="str">
        <f>IF('Incomplete Final'!X$2=$A115,'Incomplete Final'!X$46," ")</f>
        <v xml:space="preserve"> </v>
      </c>
      <c r="MU115" s="180" t="str">
        <f>IF('Incomplete Final'!Y$1=$A115,'Incomplete Final'!Y$46," ")</f>
        <v xml:space="preserve"> </v>
      </c>
      <c r="MV115" s="180" t="str">
        <f>IF('Incomplete Final'!Y$2=$A115,'Incomplete Final'!Y$46," ")</f>
        <v xml:space="preserve"> </v>
      </c>
      <c r="MW115" s="180" t="str">
        <f>IF('Incomplete Final'!Z$1=$A115,'Incomplete Final'!Z$46," ")</f>
        <v xml:space="preserve"> </v>
      </c>
      <c r="MX115" s="180" t="str">
        <f>IF('Incomplete Final'!Z$2=$A115,'Incomplete Final'!Z$46," ")</f>
        <v xml:space="preserve"> </v>
      </c>
      <c r="MY115" s="180" t="str">
        <f>IF('Incomplete Final'!AA$1=$A115,'Incomplete Final'!AA$46," ")</f>
        <v xml:space="preserve"> </v>
      </c>
      <c r="MZ115" s="180" t="str">
        <f>IF('Incomplete Final'!AA$2=$A115,'Incomplete Final'!AA$46," ")</f>
        <v xml:space="preserve"> </v>
      </c>
      <c r="NA115" s="180" t="str">
        <f>IF('Incomplete Final'!AB$1=$A115,'Incomplete Final'!AB$46," ")</f>
        <v xml:space="preserve"> </v>
      </c>
      <c r="NB115" s="180" t="str">
        <f>IF('Incomplete Final'!AB$2=$A115,'Incomplete Final'!AB$46," ")</f>
        <v xml:space="preserve"> </v>
      </c>
      <c r="NC115" s="180" t="str">
        <f>IF('Incomplete Final'!AC$1=$A115,'Incomplete Final'!AC$46," ")</f>
        <v xml:space="preserve"> </v>
      </c>
      <c r="ND115" s="180" t="str">
        <f>IF('Incomplete Final'!AC$2=$A115,'Incomplete Final'!AC$46," ")</f>
        <v xml:space="preserve"> </v>
      </c>
      <c r="NE115" s="180" t="str">
        <f>IF('Incomplete Final'!AD$1=$A115,'Incomplete Final'!AD$46," ")</f>
        <v xml:space="preserve"> </v>
      </c>
      <c r="NF115" s="180" t="str">
        <f>IF('Incomplete Final'!AD$2=$A115,'Incomplete Final'!AD$46," ")</f>
        <v xml:space="preserve"> </v>
      </c>
      <c r="NG115" s="180" t="str">
        <f>IF('Incomplete Final'!AE$1=$A115,'Incomplete Final'!AE$46," ")</f>
        <v xml:space="preserve"> </v>
      </c>
      <c r="NH115" s="180" t="str">
        <f>IF('Incomplete Final'!AE$2=$A115,'Incomplete Final'!AE$46," ")</f>
        <v xml:space="preserve"> </v>
      </c>
      <c r="NI115" s="180" t="str">
        <f>IF('Incomplete Final'!AF$1=$A115,'Incomplete Final'!AF$46," ")</f>
        <v xml:space="preserve"> </v>
      </c>
      <c r="NJ115" s="180" t="str">
        <f>IF('Incomplete Final'!AF$2=$A115,'Incomplete Final'!AF$46," ")</f>
        <v xml:space="preserve"> </v>
      </c>
      <c r="NK115" s="180" t="str">
        <f>IF('Incomplete Final'!AG$1=$A115,'Incomplete Final'!AG$46," ")</f>
        <v xml:space="preserve"> </v>
      </c>
      <c r="NL115" s="180" t="str">
        <f>IF('Incomplete Final'!AG$2=$A115,'Incomplete Final'!AG$46," ")</f>
        <v xml:space="preserve"> </v>
      </c>
      <c r="NN115" s="53" t="str">
        <f>IF('Laboratory Final'!C$1=$A115,'Laboratory Final'!C$46," ")</f>
        <v xml:space="preserve"> </v>
      </c>
      <c r="NO115" s="53" t="str">
        <f>IF('Laboratory Final'!C$2=$A115,'Laboratory Final'!C$46," ")</f>
        <v xml:space="preserve"> </v>
      </c>
      <c r="NP115" s="53" t="str">
        <f>IF('Laboratory Final'!D$1=$A115,'Laboratory Final'!D$46," ")</f>
        <v xml:space="preserve"> </v>
      </c>
      <c r="NQ115" s="53" t="str">
        <f>IF('Laboratory Final'!D$2=$A115,'Laboratory Final'!D$46," ")</f>
        <v xml:space="preserve"> </v>
      </c>
      <c r="NR115" s="53" t="str">
        <f>IF('Laboratory Final'!E$1=$A115,'Laboratory Final'!E$46," ")</f>
        <v xml:space="preserve"> </v>
      </c>
      <c r="NS115" s="53" t="str">
        <f>IF('Laboratory Final'!E$2=$A115,'Laboratory Final'!E$46," ")</f>
        <v xml:space="preserve"> </v>
      </c>
      <c r="NT115" s="53" t="str">
        <f>IF('Laboratory Final'!F$1=$A115,'Laboratory Final'!F$46," ")</f>
        <v xml:space="preserve"> </v>
      </c>
      <c r="NU115" s="53" t="str">
        <f>IF('Laboratory Final'!F$2=$A115,'Laboratory Final'!F$46," ")</f>
        <v xml:space="preserve"> </v>
      </c>
      <c r="NV115" s="53" t="str">
        <f>IF('Laboratory Final'!G$1=$A115,'Laboratory Final'!G$46," ")</f>
        <v xml:space="preserve"> </v>
      </c>
      <c r="NW115" s="53" t="str">
        <f>IF('Laboratory Final'!G$2=$A115,'Laboratory Final'!G$46," ")</f>
        <v xml:space="preserve"> </v>
      </c>
      <c r="NX115" s="53" t="str">
        <f>IF('Laboratory Final'!H$1=$A115,'Laboratory Final'!H$46," ")</f>
        <v xml:space="preserve"> </v>
      </c>
      <c r="NY115" s="53" t="str">
        <f>IF('Laboratory Final'!H$2=$A115,'Laboratory Final'!H$46," ")</f>
        <v xml:space="preserve"> </v>
      </c>
      <c r="NZ115" s="53" t="str">
        <f>IF('Laboratory Final'!I$1=$A115,'Laboratory Final'!I$46," ")</f>
        <v xml:space="preserve"> </v>
      </c>
      <c r="OA115" s="53" t="str">
        <f>IF('Laboratory Final'!I$2=$A115,'Laboratory Final'!I$46," ")</f>
        <v xml:space="preserve"> </v>
      </c>
      <c r="OB115" s="53" t="str">
        <f>IF('Laboratory Final'!J$1=$A115,'Laboratory Final'!J$46," ")</f>
        <v xml:space="preserve"> </v>
      </c>
      <c r="OC115" s="53" t="str">
        <f>IF('Laboratory Final'!J$2=$A115,'Laboratory Final'!J$46," ")</f>
        <v xml:space="preserve"> </v>
      </c>
      <c r="OD115" s="53" t="str">
        <f>IF('Laboratory Final'!K$1=$A115,'Laboratory Final'!K$46," ")</f>
        <v xml:space="preserve"> </v>
      </c>
      <c r="OE115" s="53" t="str">
        <f>IF('Laboratory Final'!K$2=$A115,'Laboratory Final'!K$46," ")</f>
        <v xml:space="preserve"> </v>
      </c>
      <c r="OF115" s="53" t="str">
        <f>IF('Laboratory Final'!L$1=$A115,'Laboratory Final'!L$46," ")</f>
        <v xml:space="preserve"> </v>
      </c>
      <c r="OG115" s="53" t="str">
        <f>IF('Laboratory Final'!L$2=$A115,'Laboratory Final'!L$46," ")</f>
        <v xml:space="preserve"> </v>
      </c>
      <c r="OI115" s="192" t="e">
        <f t="shared" si="14"/>
        <v>#DIV/0!</v>
      </c>
    </row>
    <row r="116" spans="1:399" ht="18.75" x14ac:dyDescent="0.3">
      <c r="A116" s="48">
        <v>11</v>
      </c>
      <c r="B116" s="55">
        <f>IF(SUM(D116:LA116)=0,0,AVERAGE('Course Analysis'!D116:LA116))</f>
        <v>0</v>
      </c>
      <c r="D116" s="53" t="str">
        <f>IF(Project!C$1=$A116,Project!C$46," ")</f>
        <v xml:space="preserve"> </v>
      </c>
      <c r="E116" s="53" t="str">
        <f>IF(Project!C$2=$A116,Project!C$46," ")</f>
        <v xml:space="preserve"> </v>
      </c>
      <c r="F116" s="53" t="str">
        <f>IF(Project!D$1=$A116,Project!D$46," ")</f>
        <v xml:space="preserve"> </v>
      </c>
      <c r="G116" s="53" t="str">
        <f>IF(Project!D$2=$A116,Project!D$46," ")</f>
        <v xml:space="preserve"> </v>
      </c>
      <c r="H116" s="53" t="str">
        <f>IF(Project!E$1=$A116,Project!E$46," ")</f>
        <v xml:space="preserve"> </v>
      </c>
      <c r="I116" s="53" t="str">
        <f>IF(Project!E$2=$A116,Project!E$46," ")</f>
        <v xml:space="preserve"> </v>
      </c>
      <c r="J116" s="53" t="str">
        <f>IF(Project!F$1=$A116,Project!F$46," ")</f>
        <v xml:space="preserve"> </v>
      </c>
      <c r="K116" s="53" t="str">
        <f>IF(Project!F$2=$A116,Project!F$46," ")</f>
        <v xml:space="preserve"> </v>
      </c>
      <c r="L116" s="53" t="str">
        <f>IF(Project!G$1=$A116,Project!G$46," ")</f>
        <v xml:space="preserve"> </v>
      </c>
      <c r="M116" s="53" t="str">
        <f>IF(Project!G$2=$A116,Project!G$46," ")</f>
        <v xml:space="preserve"> </v>
      </c>
      <c r="N116" s="53" t="str">
        <f>IF(Project!H$1=$A116,Project!H$46," ")</f>
        <v xml:space="preserve"> </v>
      </c>
      <c r="O116" s="53" t="str">
        <f>IF(Project!H$2=$A116,Project!H$46," ")</f>
        <v xml:space="preserve"> </v>
      </c>
      <c r="P116" s="53" t="str">
        <f>IF(Project!I$1=$A116,Project!I$46," ")</f>
        <v xml:space="preserve"> </v>
      </c>
      <c r="Q116" s="53" t="str">
        <f>IF(Project!I$2=$A116,Project!I$46," ")</f>
        <v xml:space="preserve"> </v>
      </c>
      <c r="R116" s="53" t="str">
        <f>IF(Project!J$1=$A116,Project!J$46," ")</f>
        <v xml:space="preserve"> </v>
      </c>
      <c r="S116" s="53" t="str">
        <f>IF(Project!J$2=$A116,Project!J$46," ")</f>
        <v xml:space="preserve"> </v>
      </c>
      <c r="T116" s="53" t="str">
        <f>IF(Project!K$1=$A116,Project!K$46," ")</f>
        <v xml:space="preserve"> </v>
      </c>
      <c r="U116" s="53" t="str">
        <f>IF(Project!K$2=$A116,Project!K$46," ")</f>
        <v xml:space="preserve"> </v>
      </c>
      <c r="V116" s="53" t="str">
        <f>IF(Project!L$1=$A116,Project!L$46," ")</f>
        <v xml:space="preserve"> </v>
      </c>
      <c r="W116" s="53" t="str">
        <f>IF(Project!L$2=$A116,Project!L$46," ")</f>
        <v xml:space="preserve"> </v>
      </c>
      <c r="Y116" s="53" t="str">
        <f>IF(Homework!C$1=$A116,Homework!C$46," ")</f>
        <v xml:space="preserve"> </v>
      </c>
      <c r="Z116" s="53" t="str">
        <f>IF(Homework!C$2=$A116,Homework!C$46," ")</f>
        <v xml:space="preserve"> </v>
      </c>
      <c r="AA116" s="53" t="str">
        <f>IF(Homework!D$1=$A116,Homework!D$46," ")</f>
        <v xml:space="preserve"> </v>
      </c>
      <c r="AB116" s="53" t="str">
        <f>IF(Homework!D$2=$A116,Homework!D$46," ")</f>
        <v xml:space="preserve"> </v>
      </c>
      <c r="AC116" s="53" t="str">
        <f>IF(Homework!E$1=$A116,Homework!E$46," ")</f>
        <v xml:space="preserve"> </v>
      </c>
      <c r="AD116" s="53" t="str">
        <f>IF(Homework!E$2=$A116,Homework!E$46," ")</f>
        <v xml:space="preserve"> </v>
      </c>
      <c r="AE116" s="53" t="str">
        <f>IF(Homework!F$1=$A116,Homework!F$46," ")</f>
        <v xml:space="preserve"> </v>
      </c>
      <c r="AF116" s="53" t="str">
        <f>IF(Homework!F$2=$A116,Homework!F$46," ")</f>
        <v xml:space="preserve"> </v>
      </c>
      <c r="AG116" s="53" t="str">
        <f>IF(Homework!G$1=$A116,Homework!G$46," ")</f>
        <v xml:space="preserve"> </v>
      </c>
      <c r="AH116" s="53" t="str">
        <f>IF(Homework!G$2=$A116,Homework!G$46," ")</f>
        <v xml:space="preserve"> </v>
      </c>
      <c r="AI116" s="53" t="str">
        <f>IF(Homework!H$1=$A116,Homework!H$46," ")</f>
        <v xml:space="preserve"> </v>
      </c>
      <c r="AJ116" s="53" t="str">
        <f>IF(Homework!H$2=$A116,Homework!H$46," ")</f>
        <v xml:space="preserve"> </v>
      </c>
      <c r="AK116" s="53" t="str">
        <f>IF(Homework!I$1=$A116,Homework!I$46," ")</f>
        <v xml:space="preserve"> </v>
      </c>
      <c r="AL116" s="53" t="str">
        <f>IF(Homework!I$2=$A116,Homework!I$46," ")</f>
        <v xml:space="preserve"> </v>
      </c>
      <c r="AM116" s="53" t="str">
        <f>IF(Homework!J$1=$A116,Homework!J$46," ")</f>
        <v xml:space="preserve"> </v>
      </c>
      <c r="AN116" s="53" t="str">
        <f>IF(Homework!J$2=$A116,Homework!J$46," ")</f>
        <v xml:space="preserve"> </v>
      </c>
      <c r="AO116" s="53" t="str">
        <f>IF(Homework!K$1=$A116,Homework!K$46," ")</f>
        <v xml:space="preserve"> </v>
      </c>
      <c r="AP116" s="53" t="str">
        <f>IF(Homework!K$2=$A116,Homework!K$46," ")</f>
        <v xml:space="preserve"> </v>
      </c>
      <c r="AQ116" s="53" t="str">
        <f>IF(Homework!L$1=$A116,Homework!L$46," ")</f>
        <v xml:space="preserve"> </v>
      </c>
      <c r="AR116" s="53" t="str">
        <f>IF(Homework!L$2=$A116,Homework!L$46," ")</f>
        <v xml:space="preserve"> </v>
      </c>
      <c r="AS116" s="53" t="str">
        <f>IF(Homework!M$1=$A116,Homework!M$46," ")</f>
        <v xml:space="preserve"> </v>
      </c>
      <c r="AT116" s="53" t="str">
        <f>IF(Homework!M$2=$A116,Homework!M$46," ")</f>
        <v xml:space="preserve"> </v>
      </c>
      <c r="AU116" s="53" t="str">
        <f>IF(Homework!N$1=$A116,Homework!N$46," ")</f>
        <v xml:space="preserve"> </v>
      </c>
      <c r="AV116" s="53" t="str">
        <f>IF(Homework!N$2=$A116,Homework!N$46," ")</f>
        <v xml:space="preserve"> </v>
      </c>
      <c r="AW116" s="53" t="str">
        <f>IF(Homework!O$1=$A116,Homework!O$46," ")</f>
        <v xml:space="preserve"> </v>
      </c>
      <c r="AX116" s="53" t="str">
        <f>IF(Homework!O$2=$A116,Homework!O$46," ")</f>
        <v xml:space="preserve"> </v>
      </c>
      <c r="AY116" s="53" t="str">
        <f>IF(Homework!P$1=$A116,Homework!P$46," ")</f>
        <v xml:space="preserve"> </v>
      </c>
      <c r="AZ116" s="53" t="str">
        <f>IF(Homework!P$2=$A116,Homework!P$46," ")</f>
        <v xml:space="preserve"> </v>
      </c>
      <c r="BA116" s="53" t="str">
        <f>IF(Homework!Q$1=$A116,Homework!Q$46," ")</f>
        <v xml:space="preserve"> </v>
      </c>
      <c r="BB116" s="53" t="str">
        <f>IF(Homework!Q$2=$A116,Homework!Q$46," ")</f>
        <v xml:space="preserve"> </v>
      </c>
      <c r="BC116" s="53" t="str">
        <f>IF(Homework!R$1=$A116,Homework!R$46," ")</f>
        <v xml:space="preserve"> </v>
      </c>
      <c r="BD116" s="53" t="str">
        <f>IF(Homework!R$2=$A116,Homework!R$46," ")</f>
        <v xml:space="preserve"> </v>
      </c>
      <c r="BE116" s="53" t="str">
        <f>IF(Homework!S$1=$A116,Homework!S$46," ")</f>
        <v xml:space="preserve"> </v>
      </c>
      <c r="BF116" s="53" t="str">
        <f>IF(Homework!S$2=$A116,Homework!S$46," ")</f>
        <v xml:space="preserve"> </v>
      </c>
      <c r="BG116" s="53" t="str">
        <f>IF(Homework!T$1=$A116,Homework!T$46," ")</f>
        <v xml:space="preserve"> </v>
      </c>
      <c r="BH116" s="53" t="str">
        <f>IF(Homework!T$2=$A116,Homework!T$46," ")</f>
        <v xml:space="preserve"> </v>
      </c>
      <c r="BI116" s="53" t="str">
        <f>IF(Homework!U$1=$A116,Homework!U$46," ")</f>
        <v xml:space="preserve"> </v>
      </c>
      <c r="BJ116" s="53" t="str">
        <f>IF(Homework!U$2=$A116,Homework!U$46," ")</f>
        <v xml:space="preserve"> </v>
      </c>
      <c r="BK116" s="53" t="str">
        <f>IF(Homework!V$1=$A116,Homework!V$46," ")</f>
        <v xml:space="preserve"> </v>
      </c>
      <c r="BL116" s="53" t="str">
        <f>IF(Homework!V$2=$A116,Homework!V$46," ")</f>
        <v xml:space="preserve"> </v>
      </c>
      <c r="BN116" s="66" t="str">
        <f>IF(Laboratory!C$1=$A116,Laboratory!C$46," ")</f>
        <v xml:space="preserve"> </v>
      </c>
      <c r="BO116" s="66" t="str">
        <f>IF(Laboratory!C$2=$A116,Laboratory!C$46," ")</f>
        <v xml:space="preserve"> </v>
      </c>
      <c r="BP116" s="66" t="str">
        <f>IF(Laboratory!D$1=$A116,Laboratory!D$46," ")</f>
        <v xml:space="preserve"> </v>
      </c>
      <c r="BQ116" s="66" t="str">
        <f>IF(Laboratory!D$2=$A116,Laboratory!D$46," ")</f>
        <v xml:space="preserve"> </v>
      </c>
      <c r="BR116" s="66" t="str">
        <f>IF(Laboratory!E$1=$A116,Laboratory!E$46," ")</f>
        <v xml:space="preserve"> </v>
      </c>
      <c r="BS116" s="66" t="str">
        <f>IF(Laboratory!E$2=$A116,Laboratory!E$46," ")</f>
        <v xml:space="preserve"> </v>
      </c>
      <c r="BT116" s="66" t="str">
        <f>IF(Laboratory!F$1=$A116,Laboratory!F$46," ")</f>
        <v xml:space="preserve"> </v>
      </c>
      <c r="BU116" s="66" t="str">
        <f>IF(Laboratory!F$2=$A116,Laboratory!F$46," ")</f>
        <v xml:space="preserve"> </v>
      </c>
      <c r="BV116" s="66" t="str">
        <f>IF(Laboratory!G$1=$A116,Laboratory!G$46," ")</f>
        <v xml:space="preserve"> </v>
      </c>
      <c r="BW116" s="66" t="str">
        <f>IF(Laboratory!G$2=$A116,Laboratory!G$46," ")</f>
        <v xml:space="preserve"> </v>
      </c>
      <c r="BX116" s="66" t="str">
        <f>IF(Laboratory!H$1=$A116,Laboratory!H$46," ")</f>
        <v xml:space="preserve"> </v>
      </c>
      <c r="BY116" s="66" t="str">
        <f>IF(Laboratory!H$2=$A116,Laboratory!H$46," ")</f>
        <v xml:space="preserve"> </v>
      </c>
      <c r="BZ116" s="66"/>
      <c r="CA116" s="66" t="str">
        <f>IF(Laboratory!I$2=$A116,Laboratory!I$46," ")</f>
        <v xml:space="preserve"> </v>
      </c>
      <c r="CB116" s="66"/>
      <c r="CC116" s="66" t="str">
        <f>IF(Laboratory!J$2=$A116,Laboratory!J$46," ")</f>
        <v xml:space="preserve"> </v>
      </c>
      <c r="CD116" s="66" t="str">
        <f>IF(Laboratory!K$1=$A116,Laboratory!K$46," ")</f>
        <v xml:space="preserve"> </v>
      </c>
      <c r="CE116" s="66" t="str">
        <f>IF(Laboratory!K$2=$A116,Laboratory!K$46," ")</f>
        <v xml:space="preserve"> </v>
      </c>
      <c r="CF116" s="66" t="str">
        <f>IF(Laboratory!L$1=$A116,Laboratory!L$46," ")</f>
        <v xml:space="preserve"> </v>
      </c>
      <c r="CG116" s="66" t="str">
        <f>IF(Laboratory!L$2=$A116,Laboratory!L$46," ")</f>
        <v xml:space="preserve"> </v>
      </c>
      <c r="CH116" s="66" t="str">
        <f>IF(Laboratory!M$1=$A116,Laboratory!M$46," ")</f>
        <v xml:space="preserve"> </v>
      </c>
      <c r="CI116" s="66" t="str">
        <f>IF(Laboratory!M$2=$A116,Laboratory!M$46," ")</f>
        <v xml:space="preserve"> </v>
      </c>
      <c r="CJ116" s="66" t="str">
        <f>IF(Laboratory!N$1=$A116,Laboratory!N$46," ")</f>
        <v xml:space="preserve"> </v>
      </c>
      <c r="CK116" s="66" t="str">
        <f>IF(Laboratory!N$2=$A116,Laboratory!N$46," ")</f>
        <v xml:space="preserve"> </v>
      </c>
      <c r="CL116" s="66" t="str">
        <f>IF(Laboratory!O$1=$A116,Laboratory!O$46," ")</f>
        <v xml:space="preserve"> </v>
      </c>
      <c r="CM116" s="66" t="str">
        <f>IF(Laboratory!O$2=$A116,Laboratory!O$46," ")</f>
        <v xml:space="preserve"> </v>
      </c>
      <c r="CN116" s="66" t="str">
        <f>IF(Laboratory!P$1=$A116,Laboratory!P$46," ")</f>
        <v xml:space="preserve"> </v>
      </c>
      <c r="CO116" s="66" t="str">
        <f>IF(Laboratory!P$2=$A116,Laboratory!P$46," ")</f>
        <v xml:space="preserve"> </v>
      </c>
      <c r="CQ116" s="52" t="str">
        <f>IF(Quizzes!C$1=$A116,Quizzes!C$46," ")</f>
        <v xml:space="preserve"> </v>
      </c>
      <c r="CR116" s="52" t="str">
        <f>IF(Quizzes!C$2=$A116,Quizzes!C$46," ")</f>
        <v xml:space="preserve"> </v>
      </c>
      <c r="CS116" s="52" t="str">
        <f>IF(Quizzes!D$1=$A116,Quizzes!D$46," ")</f>
        <v xml:space="preserve"> </v>
      </c>
      <c r="CT116" s="52" t="str">
        <f>IF(Quizzes!D$2=$A116,Quizzes!D$46," ")</f>
        <v xml:space="preserve"> </v>
      </c>
      <c r="CU116" s="52" t="str">
        <f>IF(Quizzes!E$1=$A116,Quizzes!E$46," ")</f>
        <v xml:space="preserve"> </v>
      </c>
      <c r="CV116" s="52" t="str">
        <f>IF(Quizzes!E$2=$A116,Quizzes!E$46," ")</f>
        <v xml:space="preserve"> </v>
      </c>
      <c r="CW116" s="52" t="str">
        <f>IF(Quizzes!F$1=$A116,Quizzes!F$46," ")</f>
        <v xml:space="preserve"> </v>
      </c>
      <c r="CX116" s="52" t="str">
        <f>IF(Quizzes!F$2=$A116,Quizzes!F$46," ")</f>
        <v xml:space="preserve"> </v>
      </c>
      <c r="CY116" s="52" t="str">
        <f>IF(Quizzes!G$1=$A116,Quizzes!G$46," ")</f>
        <v xml:space="preserve"> </v>
      </c>
      <c r="CZ116" s="52" t="str">
        <f>IF(Quizzes!G$2=$A116,Quizzes!G$46," ")</f>
        <v xml:space="preserve"> </v>
      </c>
      <c r="DA116" s="52" t="str">
        <f>IF(Quizzes!H$1=$A116,Quizzes!H$46," ")</f>
        <v xml:space="preserve"> </v>
      </c>
      <c r="DB116" s="52" t="str">
        <f>IF(Quizzes!H$2=$A116,Quizzes!H$46," ")</f>
        <v xml:space="preserve"> </v>
      </c>
      <c r="DC116" s="52" t="str">
        <f>IF(Quizzes!I$1=$A116,Quizzes!I$46," ")</f>
        <v xml:space="preserve"> </v>
      </c>
      <c r="DD116" s="52" t="str">
        <f>IF(Quizzes!I$2=$A116,Quizzes!I$46," ")</f>
        <v xml:space="preserve"> </v>
      </c>
      <c r="DE116" s="52" t="str">
        <f>IF(Quizzes!J$1=$A116,Quizzes!J$46," ")</f>
        <v xml:space="preserve"> </v>
      </c>
      <c r="DF116" s="52" t="str">
        <f>IF(Quizzes!J$2=$A116,Quizzes!J$46," ")</f>
        <v xml:space="preserve"> </v>
      </c>
      <c r="DG116" s="52" t="str">
        <f>IF(Quizzes!K$1=$A116,Quizzes!K$46," ")</f>
        <v xml:space="preserve"> </v>
      </c>
      <c r="DH116" s="52" t="str">
        <f>IF(Quizzes!K$2=$A116,Quizzes!K$46," ")</f>
        <v xml:space="preserve"> </v>
      </c>
      <c r="DI116" s="52" t="str">
        <f>IF(Quizzes!L$1=$A116,Quizzes!L$46," ")</f>
        <v xml:space="preserve"> </v>
      </c>
      <c r="DJ116" s="52" t="str">
        <f>IF(Quizzes!L$2=$A116,Quizzes!L$46," ")</f>
        <v xml:space="preserve"> </v>
      </c>
      <c r="DK116" s="52" t="str">
        <f>IF(Quizzes!M$1=$A116,Quizzes!M$46," ")</f>
        <v xml:space="preserve"> </v>
      </c>
      <c r="DL116" s="52" t="str">
        <f>IF(Quizzes!M$2=$A116,Quizzes!M$46," ")</f>
        <v xml:space="preserve"> </v>
      </c>
      <c r="DM116" s="52" t="str">
        <f>IF(Quizzes!N$1=$A116,Quizzes!N$46," ")</f>
        <v xml:space="preserve"> </v>
      </c>
      <c r="DN116" s="52" t="str">
        <f>IF(Quizzes!N$2=$A116,Quizzes!N$46," ")</f>
        <v xml:space="preserve"> </v>
      </c>
      <c r="DO116" s="52" t="str">
        <f>IF(Quizzes!O$1=$A116,Quizzes!O$46," ")</f>
        <v xml:space="preserve"> </v>
      </c>
      <c r="DP116" s="52" t="str">
        <f>IF(Quizzes!O$2=$A116,Quizzes!O$46," ")</f>
        <v xml:space="preserve"> </v>
      </c>
      <c r="DQ116" s="52" t="str">
        <f>IF(Quizzes!P$1=$A116,Quizzes!P$46," ")</f>
        <v xml:space="preserve"> </v>
      </c>
      <c r="DR116" s="52" t="str">
        <f>IF(Quizzes!P$2=$A116,Quizzes!P$46," ")</f>
        <v xml:space="preserve"> </v>
      </c>
      <c r="DS116" s="52" t="str">
        <f>IF(Quizzes!Q$1=$A116,Quizzes!Q$46," ")</f>
        <v xml:space="preserve"> </v>
      </c>
      <c r="DT116" s="52" t="str">
        <f>IF(Quizzes!Q$1=$A116,Quizzes!Q$46," ")</f>
        <v xml:space="preserve"> </v>
      </c>
      <c r="DV116" s="25" t="str">
        <f>IF('Midterm 1'!C$1=$A116,'Midterm 1'!C$47," ")</f>
        <v xml:space="preserve"> </v>
      </c>
      <c r="DW116" s="25" t="str">
        <f>IF('Midterm 1'!C$2=$A116,'Midterm 1'!C$47," ")</f>
        <v xml:space="preserve"> </v>
      </c>
      <c r="DX116" s="25" t="str">
        <f>IF('Midterm 1'!D$1=$A116,'Midterm 1'!D$47," ")</f>
        <v xml:space="preserve"> </v>
      </c>
      <c r="DY116" s="25" t="str">
        <f>IF('Midterm 1'!D$2=$A116,'Midterm 1'!D$47," ")</f>
        <v xml:space="preserve"> </v>
      </c>
      <c r="DZ116" s="25" t="str">
        <f>IF('Midterm 1'!E$1=$A116,'Midterm 1'!E$47," ")</f>
        <v xml:space="preserve"> </v>
      </c>
      <c r="EA116" s="25" t="str">
        <f>IF('Midterm 1'!E$2=$A116,'Midterm 1'!E$47," ")</f>
        <v xml:space="preserve"> </v>
      </c>
      <c r="EB116" s="25" t="str">
        <f>IF('Midterm 1'!F$1=$A116,'Midterm 1'!F$47," ")</f>
        <v xml:space="preserve"> </v>
      </c>
      <c r="EC116" s="25" t="str">
        <f>IF('Midterm 1'!F$2=$A116,'Midterm 1'!F$47," ")</f>
        <v xml:space="preserve"> </v>
      </c>
      <c r="ED116" s="25" t="str">
        <f>IF('Midterm 1'!G$1=$A116,'Midterm 1'!G$47," ")</f>
        <v xml:space="preserve"> </v>
      </c>
      <c r="EE116" s="25" t="str">
        <f>IF('Midterm 1'!G$2=$A116,'Midterm 1'!G$47," ")</f>
        <v xml:space="preserve"> </v>
      </c>
      <c r="EF116" s="25" t="str">
        <f>IF('Midterm 1'!H$1=$A116,'Midterm 1'!I$47," ")</f>
        <v xml:space="preserve"> </v>
      </c>
      <c r="EG116" s="25" t="str">
        <f>IF('Midterm 1'!H$2=$A116,'Midterm 1'!H$47," ")</f>
        <v xml:space="preserve"> </v>
      </c>
      <c r="EH116" s="25" t="str">
        <f>IF('Midterm 1'!I$1=$A116,'Midterm 1'!I$47," ")</f>
        <v xml:space="preserve"> </v>
      </c>
      <c r="EI116" s="25" t="str">
        <f>IF('Midterm 1'!I$2=$A116,'Midterm 1'!I$47," ")</f>
        <v xml:space="preserve"> </v>
      </c>
      <c r="EJ116" s="25" t="str">
        <f>IF('Midterm 1'!J$1=$A116,'Midterm 1'!J$47," ")</f>
        <v xml:space="preserve"> </v>
      </c>
      <c r="EK116" s="25" t="str">
        <f>IF('Midterm 1'!J$2=$A116,'Midterm 1'!J$47," ")</f>
        <v xml:space="preserve"> </v>
      </c>
      <c r="EL116" s="25" t="str">
        <f>IF('Midterm 1'!K$1=$A116,'Midterm 1'!K$47," ")</f>
        <v xml:space="preserve"> </v>
      </c>
      <c r="EM116" s="25" t="str">
        <f>IF('Midterm 1'!K$2=$A116,'Midterm 1'!K$47," ")</f>
        <v xml:space="preserve"> </v>
      </c>
      <c r="EN116" s="25" t="str">
        <f>IF('Midterm 1'!L$1=$A116,'Midterm 1'!L$47," ")</f>
        <v xml:space="preserve"> </v>
      </c>
      <c r="EO116" s="25" t="str">
        <f>IF('Midterm 1'!L$2=$A116,'Midterm 1'!L$47," ")</f>
        <v xml:space="preserve"> </v>
      </c>
      <c r="EP116" s="25" t="str">
        <f>IF('Midterm 1'!M$1=$A116,'Midterm 1'!M$47," ")</f>
        <v xml:space="preserve"> </v>
      </c>
      <c r="EQ116" s="25" t="str">
        <f>IF('Midterm 1'!M$2=$A116,'Midterm 1'!M$47," ")</f>
        <v xml:space="preserve"> </v>
      </c>
      <c r="ER116" s="25" t="str">
        <f>IF('Midterm 1'!N$1=$A116,'Midterm 1'!N$47," ")</f>
        <v xml:space="preserve"> </v>
      </c>
      <c r="ES116" s="25" t="str">
        <f>IF('Midterm 1'!N$2=$A116,'Midterm 1'!N$47," ")</f>
        <v xml:space="preserve"> </v>
      </c>
      <c r="ET116" s="25" t="str">
        <f>IF('Midterm 1'!O$1=$A116,'Midterm 1'!O$47," ")</f>
        <v xml:space="preserve"> </v>
      </c>
      <c r="EU116" s="25" t="str">
        <f>IF('Midterm 1'!O$2=$A116,'Midterm 1'!O$47," ")</f>
        <v xml:space="preserve"> </v>
      </c>
      <c r="EV116" s="25" t="str">
        <f>IF('Midterm 1'!P$1=$A116,'Midterm 1'!P$47," ")</f>
        <v xml:space="preserve"> </v>
      </c>
      <c r="EW116" s="25" t="str">
        <f>IF('Midterm 1'!P$2=$A116,'Midterm 1'!P$47," ")</f>
        <v xml:space="preserve"> </v>
      </c>
      <c r="EX116" s="25" t="str">
        <f>IF('Midterm 1'!Q$1=$A116,'Midterm 1'!Q$47," ")</f>
        <v xml:space="preserve"> </v>
      </c>
      <c r="EY116" s="25" t="str">
        <f>IF('Midterm 1'!Q$2=$A116,'Midterm 1'!Q$47," ")</f>
        <v xml:space="preserve"> </v>
      </c>
      <c r="EZ116" s="25" t="str">
        <f>IF('Midterm 1'!R$1=$A116,'Midterm 1'!R$47," ")</f>
        <v xml:space="preserve"> </v>
      </c>
      <c r="FA116" s="25" t="str">
        <f>IF('Midterm 1'!R$2=$A116,'Midterm 1'!R$47," ")</f>
        <v xml:space="preserve"> </v>
      </c>
      <c r="FB116" s="25" t="str">
        <f>IF('Midterm 1'!S$1=$A116,'Midterm 1'!S$47," ")</f>
        <v xml:space="preserve"> </v>
      </c>
      <c r="FC116" s="25" t="str">
        <f>IF('Midterm 1'!S$2=$A116,'Midterm 1'!S$47," ")</f>
        <v xml:space="preserve"> </v>
      </c>
      <c r="FD116" s="25" t="str">
        <f>IF('Midterm 1'!T$1=$A116,'Midterm 1'!T$47," ")</f>
        <v xml:space="preserve"> </v>
      </c>
      <c r="FE116" s="25" t="str">
        <f>IF('Midterm 1'!T$2=$A116,'Midterm 1'!T$47," ")</f>
        <v xml:space="preserve"> </v>
      </c>
      <c r="FF116" s="25" t="str">
        <f>IF('Midterm 1'!U$1=$A116,'Midterm 1'!U$47," ")</f>
        <v xml:space="preserve"> </v>
      </c>
      <c r="FG116" s="25" t="str">
        <f>IF('Midterm 1'!U$2=$A116,'Midterm 1'!U$47," ")</f>
        <v xml:space="preserve"> </v>
      </c>
      <c r="FH116" s="25" t="str">
        <f>IF('Midterm 1'!V$1=$A116,'Midterm 1'!V$47," ")</f>
        <v xml:space="preserve"> </v>
      </c>
      <c r="FI116" s="25" t="str">
        <f>IF('Midterm 1'!V$2=$A116,'Midterm 1'!V$47," ")</f>
        <v xml:space="preserve"> </v>
      </c>
      <c r="FJ116" s="25" t="str">
        <f>IF('Midterm 1'!W$1=$A116,'Midterm 1'!W$47," ")</f>
        <v xml:space="preserve"> </v>
      </c>
      <c r="FK116" s="25" t="str">
        <f>IF('Midterm 1'!W$2=$A116,'Midterm 1'!W$47," ")</f>
        <v xml:space="preserve"> </v>
      </c>
      <c r="FL116" s="25" t="str">
        <f>IF('Midterm 1'!X$1=$A116,'Midterm 1'!X$47," ")</f>
        <v xml:space="preserve"> </v>
      </c>
      <c r="FM116" s="25" t="str">
        <f>IF('Midterm 1'!X$2=$A116,'Midterm 1'!X$47," ")</f>
        <v xml:space="preserve"> </v>
      </c>
      <c r="FN116" s="25" t="str">
        <f>IF('Midterm 1'!Y$1=$A116,'Midterm 1'!Y$47," ")</f>
        <v xml:space="preserve"> </v>
      </c>
      <c r="FO116" s="25" t="str">
        <f>IF('Midterm 1'!Y$2=$A116,'Midterm 1'!Y$47," ")</f>
        <v xml:space="preserve"> </v>
      </c>
      <c r="FP116" s="25" t="str">
        <f>IF('Midterm 1'!Z$1=$A116,'Midterm 1'!Z$47," ")</f>
        <v xml:space="preserve"> </v>
      </c>
      <c r="FQ116" s="25" t="str">
        <f>IF('Midterm 1'!Z$2=$A116,'Midterm 1'!Z$47," ")</f>
        <v xml:space="preserve"> </v>
      </c>
      <c r="FR116" s="25" t="str">
        <f>IF('Midterm 1'!AA$1=$A116,'Midterm 1'!AA$47," ")</f>
        <v xml:space="preserve"> </v>
      </c>
      <c r="FS116" s="25" t="str">
        <f>IF('Midterm 1'!AA$2=$A116,'Midterm 1'!AA$47," ")</f>
        <v xml:space="preserve"> </v>
      </c>
      <c r="FT116" s="25" t="str">
        <f>IF('Midterm 1'!AB$1=$A116,'Midterm 1'!AB$47," ")</f>
        <v xml:space="preserve"> </v>
      </c>
      <c r="FU116" s="25" t="str">
        <f>IF('Midterm 1'!AB$2=$A116,'Midterm 1'!AB$47," ")</f>
        <v xml:space="preserve"> </v>
      </c>
      <c r="FV116" s="25" t="str">
        <f>IF('Midterm 1'!AC$1=$A116,'Midterm 1'!AC$47," ")</f>
        <v xml:space="preserve"> </v>
      </c>
      <c r="FW116" s="25" t="str">
        <f>IF('Midterm 1'!AC$2=$A116,'Midterm 1'!AC$47," ")</f>
        <v xml:space="preserve"> </v>
      </c>
      <c r="FX116" s="25" t="str">
        <f>IF('Midterm 1'!AD$1=$A116,'Midterm 1'!AD$47," ")</f>
        <v xml:space="preserve"> </v>
      </c>
      <c r="FY116" s="25" t="str">
        <f>IF('Midterm 1'!AD$2=$A116,'Midterm 1'!AD$47," ")</f>
        <v xml:space="preserve"> </v>
      </c>
      <c r="FZ116" s="25" t="str">
        <f>IF('Midterm 1'!AE$1=$A116,'Midterm 1'!AE$47," ")</f>
        <v xml:space="preserve"> </v>
      </c>
      <c r="GA116" s="25" t="str">
        <f>IF('Midterm 1'!AE$2=$A116,'Midterm 1'!AE$47," ")</f>
        <v xml:space="preserve"> </v>
      </c>
      <c r="GB116" s="25" t="str">
        <f>IF('Midterm 1'!AF$1=$A116,'Midterm 1'!AF$47," ")</f>
        <v xml:space="preserve"> </v>
      </c>
      <c r="GC116" s="25" t="str">
        <f>IF('Midterm 1'!AF$2=$A116,'Midterm 1'!AF$47," ")</f>
        <v xml:space="preserve"> </v>
      </c>
      <c r="GE116" s="25" t="str">
        <f>IF('Midterm 2'!C$1=$A116,'Midterm 2'!C$47," ")</f>
        <v xml:space="preserve"> </v>
      </c>
      <c r="GF116" s="25" t="str">
        <f>IF('Midterm 2'!C$2=$A116,'Midterm 2'!C$47," ")</f>
        <v xml:space="preserve"> </v>
      </c>
      <c r="GG116" s="25" t="str">
        <f>IF('Midterm 2'!D$1=$A116,'Midterm 2'!D$47," ")</f>
        <v xml:space="preserve"> </v>
      </c>
      <c r="GH116" s="25" t="str">
        <f>IF('Midterm 2'!D$2=$A116,'Midterm 2'!D$47," ")</f>
        <v xml:space="preserve"> </v>
      </c>
      <c r="GI116" s="25" t="str">
        <f>IF('Midterm 2'!E$1=$A116,'Midterm 2'!E$47," ")</f>
        <v xml:space="preserve"> </v>
      </c>
      <c r="GJ116" s="25" t="str">
        <f>IF('Midterm 2'!E$2=$A116,'Midterm 2'!E$47," ")</f>
        <v xml:space="preserve"> </v>
      </c>
      <c r="GK116" s="25" t="str">
        <f>IF('Midterm 2'!F$1=$A116,'Midterm 2'!F$47," ")</f>
        <v xml:space="preserve"> </v>
      </c>
      <c r="GL116" s="25" t="str">
        <f>IF('Midterm 2'!F$2=$A116,'Midterm 2'!F$47," ")</f>
        <v xml:space="preserve"> </v>
      </c>
      <c r="GM116" s="25" t="str">
        <f>IF('Midterm 2'!G$1=$A116,'Midterm 2'!G$47," ")</f>
        <v xml:space="preserve"> </v>
      </c>
      <c r="GN116" s="25" t="str">
        <f>IF('Midterm 2'!G$2=$A116,'Midterm 2'!G$47," ")</f>
        <v xml:space="preserve"> </v>
      </c>
      <c r="GO116" s="25" t="str">
        <f>IF('Midterm 2'!H$1=$A116,'Midterm 2'!H$47," ")</f>
        <v xml:space="preserve"> </v>
      </c>
      <c r="GP116" s="25" t="str">
        <f>IF('Midterm 2'!H$2=$A116,'Midterm 2'!H$47," ")</f>
        <v xml:space="preserve"> </v>
      </c>
      <c r="GQ116" s="25" t="str">
        <f>IF('Midterm 2'!I$1=$A116,'Midterm 2'!I$47," ")</f>
        <v xml:space="preserve"> </v>
      </c>
      <c r="GR116" s="25" t="str">
        <f>IF('Midterm 2'!I$2=$A116,'Midterm 2'!I$47," ")</f>
        <v xml:space="preserve"> </v>
      </c>
      <c r="GS116" s="25" t="str">
        <f>IF('Midterm 2'!J$1=$A116,'Midterm 2'!J$47," ")</f>
        <v xml:space="preserve"> </v>
      </c>
      <c r="GT116" s="25" t="str">
        <f>IF('Midterm 2'!J$2=$A116,'Midterm 2'!J$47," ")</f>
        <v xml:space="preserve"> </v>
      </c>
      <c r="GU116" s="25" t="str">
        <f>IF('Midterm 2'!K$1=$A116,'Midterm 2'!K$47," ")</f>
        <v xml:space="preserve"> </v>
      </c>
      <c r="GV116" s="25" t="str">
        <f>IF('Midterm 2'!K$2=$A116,'Midterm 2'!K$47," ")</f>
        <v xml:space="preserve"> </v>
      </c>
      <c r="GW116" s="25" t="str">
        <f>IF('Midterm 2'!L$1=$A116,'Midterm 2'!L$47," ")</f>
        <v xml:space="preserve"> </v>
      </c>
      <c r="GX116" s="25" t="str">
        <f>IF('Midterm 2'!L$2=$A116,'Midterm 2'!L$47," ")</f>
        <v xml:space="preserve"> </v>
      </c>
      <c r="GY116" s="25" t="str">
        <f>IF('Midterm 2'!M$1=$A116,'Midterm 2'!M$47," ")</f>
        <v xml:space="preserve"> </v>
      </c>
      <c r="GZ116" s="25" t="str">
        <f>IF('Midterm 2'!M$2=$A116,'Midterm 2'!M$47," ")</f>
        <v xml:space="preserve"> </v>
      </c>
      <c r="HA116" s="25" t="str">
        <f>IF('Midterm 2'!N$1=$A116,'Midterm 2'!N$47," ")</f>
        <v xml:space="preserve"> </v>
      </c>
      <c r="HB116" s="25" t="str">
        <f>IF('Midterm 2'!N$2=$A116,'Midterm 2'!N$47," ")</f>
        <v xml:space="preserve"> </v>
      </c>
      <c r="HC116" s="25" t="str">
        <f>IF('Midterm 2'!O$1=$A116,'Midterm 2'!O$47," ")</f>
        <v xml:space="preserve"> </v>
      </c>
      <c r="HD116" s="25" t="str">
        <f>IF('Midterm 2'!O$2=$A116,'Midterm 2'!O$47," ")</f>
        <v xml:space="preserve"> </v>
      </c>
      <c r="HE116" s="25" t="str">
        <f>IF('Midterm 2'!P$1=$A116,'Midterm 2'!P$47," ")</f>
        <v xml:space="preserve"> </v>
      </c>
      <c r="HF116" s="25" t="str">
        <f>IF('Midterm 2'!P$2=$A116,'Midterm 2'!P$47," ")</f>
        <v xml:space="preserve"> </v>
      </c>
      <c r="HG116" s="25" t="str">
        <f>IF('Midterm 2'!Q$1=$A116,'Midterm 2'!Q$47," ")</f>
        <v xml:space="preserve"> </v>
      </c>
      <c r="HH116" s="25" t="str">
        <f>IF('Midterm 2'!Q$2=$A116,'Midterm 2'!Q$47," ")</f>
        <v xml:space="preserve"> </v>
      </c>
      <c r="HI116" s="25" t="str">
        <f>IF('Midterm 2'!R$1=$A116,'Midterm 2'!R$47," ")</f>
        <v xml:space="preserve"> </v>
      </c>
      <c r="HJ116" s="25" t="str">
        <f>IF('Midterm 2'!R$2=$A116,'Midterm 2'!R$47," ")</f>
        <v xml:space="preserve"> </v>
      </c>
      <c r="HK116" s="25" t="str">
        <f>IF('Midterm 2'!S$1=$A116,'Midterm 2'!S$47," ")</f>
        <v xml:space="preserve"> </v>
      </c>
      <c r="HL116" s="25" t="str">
        <f>IF('Midterm 2'!S$2=$A116,'Midterm 2'!S$47," ")</f>
        <v xml:space="preserve"> </v>
      </c>
      <c r="HM116" s="25" t="str">
        <f>IF('Midterm 2'!T$1=$A116,'Midterm 2'!T$47," ")</f>
        <v xml:space="preserve"> </v>
      </c>
      <c r="HN116" s="25" t="str">
        <f>IF('Midterm 2'!T$2=$A116,'Midterm 2'!T$47," ")</f>
        <v xml:space="preserve"> </v>
      </c>
      <c r="HO116" s="25" t="str">
        <f>IF('Midterm 2'!U$1=$A116,'Midterm 2'!U$47," ")</f>
        <v xml:space="preserve"> </v>
      </c>
      <c r="HP116" s="25" t="str">
        <f>IF('Midterm 2'!U$2=$A116,'Midterm 2'!U$47," ")</f>
        <v xml:space="preserve"> </v>
      </c>
      <c r="HQ116" s="25" t="str">
        <f>IF('Midterm 2'!V$1=$A116,'Midterm 2'!V$47," ")</f>
        <v xml:space="preserve"> </v>
      </c>
      <c r="HR116" s="25" t="str">
        <f>IF('Midterm 2'!V$2=$A116,'Midterm 2'!V$47," ")</f>
        <v xml:space="preserve"> </v>
      </c>
      <c r="HS116" s="25" t="str">
        <f>IF('Midterm 2'!W$1=$A116,'Midterm 2'!W$47," ")</f>
        <v xml:space="preserve"> </v>
      </c>
      <c r="HT116" s="25" t="str">
        <f>IF('Midterm 2'!W$2=$A116,'Midterm 2'!W$47," ")</f>
        <v xml:space="preserve"> </v>
      </c>
      <c r="HU116" s="25" t="str">
        <f>IF('Midterm 2'!X$1=$A116,'Midterm 2'!X$47," ")</f>
        <v xml:space="preserve"> </v>
      </c>
      <c r="HV116" s="25" t="str">
        <f>IF('Midterm 2'!X$2=$A116,'Midterm 2'!X$47," ")</f>
        <v xml:space="preserve"> </v>
      </c>
      <c r="HW116" s="25" t="str">
        <f>IF('Midterm 2'!Y$1=$A116,'Midterm 2'!Y$47," ")</f>
        <v xml:space="preserve"> </v>
      </c>
      <c r="HX116" s="25" t="str">
        <f>IF('Midterm 2'!Y$2=$A116,'Midterm 2'!Y$47," ")</f>
        <v xml:space="preserve"> </v>
      </c>
      <c r="HY116" s="25" t="str">
        <f>IF('Midterm 2'!Z$1=$A116,'Midterm 2'!Z$47," ")</f>
        <v xml:space="preserve"> </v>
      </c>
      <c r="HZ116" s="25" t="str">
        <f>IF('Midterm 2'!Z$2=$A116,'Midterm 2'!Z$47," ")</f>
        <v xml:space="preserve"> </v>
      </c>
      <c r="IA116" s="25" t="str">
        <f>IF('Midterm 2'!AA$1=$A116,'Midterm 2'!AA$47," ")</f>
        <v xml:space="preserve"> </v>
      </c>
      <c r="IB116" s="25" t="str">
        <f>IF('Midterm 2'!AA$2=$A116,'Midterm 2'!AA$47," ")</f>
        <v xml:space="preserve"> </v>
      </c>
      <c r="IC116" s="25" t="str">
        <f>IF('Midterm 2'!AB$1=$A116,'Midterm 2'!AB$47," ")</f>
        <v xml:space="preserve"> </v>
      </c>
      <c r="ID116" s="25" t="str">
        <f>IF('Midterm 2'!AB$2=$A116,'Midterm 2'!AB$47," ")</f>
        <v xml:space="preserve"> </v>
      </c>
      <c r="IE116" s="25" t="str">
        <f>IF('Midterm 2'!AC$1=$A116,'Midterm 2'!AC$47," ")</f>
        <v xml:space="preserve"> </v>
      </c>
      <c r="IF116" s="25" t="str">
        <f>IF('Midterm 2'!AC$2=$A116,'Midterm 2'!AC$47," ")</f>
        <v xml:space="preserve"> </v>
      </c>
      <c r="IG116" s="25" t="str">
        <f>IF('Midterm 2'!AD$1=$A116,'Midterm 2'!AD$47," ")</f>
        <v xml:space="preserve"> </v>
      </c>
      <c r="IH116" s="25" t="str">
        <f>IF('Midterm 2'!AD$2=$A116,'Midterm 2'!AD$47," ")</f>
        <v xml:space="preserve"> </v>
      </c>
      <c r="II116" s="25" t="str">
        <f>IF('Midterm 2'!AE$1=$A116,'Midterm 2'!AE$47," ")</f>
        <v xml:space="preserve"> </v>
      </c>
      <c r="IJ116" s="25" t="str">
        <f>IF('Midterm 2'!AE$2=$A116,'Midterm 2'!AE$47," ")</f>
        <v xml:space="preserve"> </v>
      </c>
      <c r="IK116" s="25" t="str">
        <f>IF('Midterm 2'!AF$1=$A116,'Midterm 2'!AF$47," ")</f>
        <v xml:space="preserve"> </v>
      </c>
      <c r="IL116" s="25" t="str">
        <f>IF('Midterm 2'!AF$2=$A116,'Midterm 2'!AF$47," ")</f>
        <v xml:space="preserve"> </v>
      </c>
      <c r="IM116" s="25" t="str">
        <f>IF('Midterm 2'!AG$1=$A116,'Midterm 2'!AG$47," ")</f>
        <v xml:space="preserve"> </v>
      </c>
      <c r="IN116" s="25" t="str">
        <f>IF('Midterm 2'!AG$2=$A116,'Midterm 2'!AG$47," ")</f>
        <v xml:space="preserve"> </v>
      </c>
      <c r="IO116" s="25" t="str">
        <f>IF('Midterm 2'!AH$1=$A116,'Midterm 2'!AH$47," ")</f>
        <v xml:space="preserve"> </v>
      </c>
      <c r="IP116" s="25" t="str">
        <f>IF('Midterm 2'!AH$2=$A116,'Midterm 2'!AF$47," ")</f>
        <v xml:space="preserve"> </v>
      </c>
      <c r="IR116" s="54" t="str">
        <f>IF('Final Exam'!C$1=$A116,'Final Exam'!C$46," ")</f>
        <v xml:space="preserve"> </v>
      </c>
      <c r="IS116" s="54" t="str">
        <f>IF('Final Exam'!C$2=$A116,'Final Exam'!C$46," ")</f>
        <v xml:space="preserve"> </v>
      </c>
      <c r="IT116" s="54" t="str">
        <f>IF('Final Exam'!D$1=$A116,'Final Exam'!D$46," ")</f>
        <v xml:space="preserve"> </v>
      </c>
      <c r="IU116" s="54" t="str">
        <f>IF('Final Exam'!D$2=$A116,'Final Exam'!D$46," ")</f>
        <v xml:space="preserve"> </v>
      </c>
      <c r="IV116" s="54" t="str">
        <f>IF('Final Exam'!E$1=$A116,'Final Exam'!E$46," ")</f>
        <v xml:space="preserve"> </v>
      </c>
      <c r="IW116" s="54" t="str">
        <f>IF('Final Exam'!E$2=$A116,'Final Exam'!E$46," ")</f>
        <v xml:space="preserve"> </v>
      </c>
      <c r="IX116" s="54" t="str">
        <f>IF('Final Exam'!F$1=$A116,'Final Exam'!F$46," ")</f>
        <v xml:space="preserve"> </v>
      </c>
      <c r="IY116" s="54" t="str">
        <f>IF('Final Exam'!F$2=$A116,'Final Exam'!F$46," ")</f>
        <v xml:space="preserve"> </v>
      </c>
      <c r="IZ116" s="54" t="str">
        <f>IF('Final Exam'!G$1=$A116,'Final Exam'!G$46," ")</f>
        <v xml:space="preserve"> </v>
      </c>
      <c r="JA116" s="54" t="str">
        <f>IF('Final Exam'!G$2=$A116,'Final Exam'!G$46," ")</f>
        <v xml:space="preserve"> </v>
      </c>
      <c r="JB116" s="54" t="str">
        <f>IF('Final Exam'!H$1=$A116,'Final Exam'!G$46," ")</f>
        <v xml:space="preserve"> </v>
      </c>
      <c r="JC116" s="54" t="str">
        <f>IF('Final Exam'!H$2=$A116,'Final Exam'!H$46," ")</f>
        <v xml:space="preserve"> </v>
      </c>
      <c r="JD116" s="54" t="str">
        <f>IF('Final Exam'!I$1=$A116,'Final Exam'!I$46," ")</f>
        <v xml:space="preserve"> </v>
      </c>
      <c r="JE116" s="54" t="str">
        <f>IF('Final Exam'!I$2=$A116,'Final Exam'!I$46," ")</f>
        <v xml:space="preserve"> </v>
      </c>
      <c r="JF116" s="54" t="str">
        <f>IF('Final Exam'!J$1=$A116,'Final Exam'!J$46," ")</f>
        <v xml:space="preserve"> </v>
      </c>
      <c r="JG116" s="54" t="str">
        <f>IF('Final Exam'!J$2=$A116,'Final Exam'!J$46," ")</f>
        <v xml:space="preserve"> </v>
      </c>
      <c r="JH116" s="54" t="str">
        <f>IF('Final Exam'!K$1=$A116,'Final Exam'!K$46," ")</f>
        <v xml:space="preserve"> </v>
      </c>
      <c r="JI116" s="54" t="str">
        <f>IF('Final Exam'!K$2=$A116,'Final Exam'!K$46," ")</f>
        <v xml:space="preserve"> </v>
      </c>
      <c r="JJ116" s="54" t="str">
        <f>IF('Final Exam'!L$1=$A116,'Final Exam'!L$46," ")</f>
        <v xml:space="preserve"> </v>
      </c>
      <c r="JK116" s="54" t="str">
        <f>IF('Final Exam'!L$2=$A116,'Final Exam'!L$46," ")</f>
        <v xml:space="preserve"> </v>
      </c>
      <c r="JL116" s="54" t="str">
        <f>IF('Final Exam'!M$1=$A116,'Final Exam'!M$46," ")</f>
        <v xml:space="preserve"> </v>
      </c>
      <c r="JM116" s="54" t="str">
        <f>IF('Final Exam'!M$2=$A116,'Final Exam'!M$46," ")</f>
        <v xml:space="preserve"> </v>
      </c>
      <c r="JN116" s="54" t="str">
        <f>IF('Final Exam'!N$1=$A116,'Final Exam'!N$46," ")</f>
        <v xml:space="preserve"> </v>
      </c>
      <c r="JO116" s="54" t="str">
        <f>IF('Final Exam'!N$2=$A116,'Final Exam'!N$46," ")</f>
        <v xml:space="preserve"> </v>
      </c>
      <c r="JP116" s="54" t="str">
        <f>IF('Final Exam'!O$1=$A116,'Final Exam'!O$46," ")</f>
        <v xml:space="preserve"> </v>
      </c>
      <c r="JQ116" s="54" t="str">
        <f>IF('Final Exam'!O$2=$A116,'Final Exam'!O$46," ")</f>
        <v xml:space="preserve"> </v>
      </c>
      <c r="JR116" s="54" t="str">
        <f>IF('Final Exam'!P$1=$A116,'Final Exam'!P$46," ")</f>
        <v xml:space="preserve"> </v>
      </c>
      <c r="JS116" s="54" t="str">
        <f>IF('Final Exam'!P$2=$A116,'Final Exam'!P$46," ")</f>
        <v xml:space="preserve"> </v>
      </c>
      <c r="JT116" s="54" t="str">
        <f>IF('Final Exam'!Q$1=$A116,'Final Exam'!Q$46," ")</f>
        <v xml:space="preserve"> </v>
      </c>
      <c r="JU116" s="54" t="str">
        <f>IF('Final Exam'!Q$2=$A116,'Final Exam'!Q$46," ")</f>
        <v xml:space="preserve"> </v>
      </c>
      <c r="JV116" s="54" t="str">
        <f>IF('Final Exam'!R$1=$A116,'Final Exam'!R$46," ")</f>
        <v xml:space="preserve"> </v>
      </c>
      <c r="JW116" s="54" t="str">
        <f>IF('Final Exam'!R$2=$A116,'Final Exam'!R$46," ")</f>
        <v xml:space="preserve"> </v>
      </c>
      <c r="JX116" s="54" t="str">
        <f>IF('Final Exam'!S$1=$A116,'Final Exam'!S$46," ")</f>
        <v xml:space="preserve"> </v>
      </c>
      <c r="JY116" s="54" t="str">
        <f>IF('Final Exam'!S$2=$A116,'Final Exam'!S$46," ")</f>
        <v xml:space="preserve"> </v>
      </c>
      <c r="JZ116" s="54" t="str">
        <f>IF('Final Exam'!T$1=$A116,'Final Exam'!T$46," ")</f>
        <v xml:space="preserve"> </v>
      </c>
      <c r="KA116" s="54" t="str">
        <f>IF('Final Exam'!T$2=$A116,'Final Exam'!T$46," ")</f>
        <v xml:space="preserve"> </v>
      </c>
      <c r="KB116" s="54" t="str">
        <f>IF('Final Exam'!U$1=$A116,'Final Exam'!U$46," ")</f>
        <v xml:space="preserve"> </v>
      </c>
      <c r="KC116" s="54" t="str">
        <f>IF('Final Exam'!U$2=$A116,'Final Exam'!U$46," ")</f>
        <v xml:space="preserve"> </v>
      </c>
      <c r="KD116" s="54" t="str">
        <f>IF('Final Exam'!V$1=$A116,'Final Exam'!V$46," ")</f>
        <v xml:space="preserve"> </v>
      </c>
      <c r="KE116" s="54" t="str">
        <f>IF('Final Exam'!V$2=$A116,'Final Exam'!V$46," ")</f>
        <v xml:space="preserve"> </v>
      </c>
      <c r="KF116" s="54" t="str">
        <f>IF('Final Exam'!W$1=$A116,'Final Exam'!W$46," ")</f>
        <v xml:space="preserve"> </v>
      </c>
      <c r="KG116" s="54" t="str">
        <f>IF('Final Exam'!W$2=$A116,'Final Exam'!W$46," ")</f>
        <v xml:space="preserve"> </v>
      </c>
      <c r="KH116" s="54" t="str">
        <f>IF('Final Exam'!X$1=$A116,'Final Exam'!X$46," ")</f>
        <v xml:space="preserve"> </v>
      </c>
      <c r="KI116" s="54" t="str">
        <f>IF('Final Exam'!X$2=$A116,'Final Exam'!X$46," ")</f>
        <v xml:space="preserve"> </v>
      </c>
      <c r="KJ116" s="54" t="str">
        <f>IF('Final Exam'!Y$1=$A116,'Final Exam'!Y$46," ")</f>
        <v xml:space="preserve"> </v>
      </c>
      <c r="KK116" s="54" t="str">
        <f>IF('Final Exam'!Y$2=$A116,'Final Exam'!Y$46," ")</f>
        <v xml:space="preserve"> </v>
      </c>
      <c r="KL116" s="54" t="str">
        <f>IF('Final Exam'!Z$1=$A116,'Final Exam'!Z$46," ")</f>
        <v xml:space="preserve"> </v>
      </c>
      <c r="KM116" s="54" t="str">
        <f>IF('Final Exam'!Z$2=$A116,'Final Exam'!Z$46," ")</f>
        <v xml:space="preserve"> </v>
      </c>
      <c r="KN116" s="54" t="str">
        <f>IF('Final Exam'!AA$1=$A116,'Final Exam'!AA$46," ")</f>
        <v xml:space="preserve"> </v>
      </c>
      <c r="KO116" s="54" t="str">
        <f>IF('Final Exam'!AA$2=$A116,'Final Exam'!AA$46," ")</f>
        <v xml:space="preserve"> </v>
      </c>
      <c r="KP116" s="54" t="str">
        <f>IF('Final Exam'!AB$1=$A116,'Final Exam'!AB$46," ")</f>
        <v xml:space="preserve"> </v>
      </c>
      <c r="KQ116" s="54" t="str">
        <f>IF('Final Exam'!AB$2=$A116,'Final Exam'!AB$46," ")</f>
        <v xml:space="preserve"> </v>
      </c>
      <c r="KR116" s="54" t="str">
        <f>IF('Final Exam'!AC$1=$A116,'Final Exam'!AC$46," ")</f>
        <v xml:space="preserve"> </v>
      </c>
      <c r="KS116" s="54" t="str">
        <f>IF('Final Exam'!AC$2=$A116,'Final Exam'!AC$46," ")</f>
        <v xml:space="preserve"> </v>
      </c>
      <c r="KT116" s="54" t="str">
        <f>IF('Final Exam'!AD$1=$A116,'Final Exam'!AD$46," ")</f>
        <v xml:space="preserve"> </v>
      </c>
      <c r="KU116" s="54" t="str">
        <f>IF('Final Exam'!AD$2=$A116,'Final Exam'!AD$46," ")</f>
        <v xml:space="preserve"> </v>
      </c>
      <c r="KV116" s="54" t="str">
        <f>IF('Final Exam'!AE$1=$A116,'Final Exam'!AE$46," ")</f>
        <v xml:space="preserve"> </v>
      </c>
      <c r="KW116" s="54" t="str">
        <f>IF('Final Exam'!AE$2=$A116,'Final Exam'!AE$46," ")</f>
        <v xml:space="preserve"> </v>
      </c>
      <c r="KX116" s="54" t="str">
        <f>IF('Final Exam'!AF$1=$A116,'Final Exam'!AF$46," ")</f>
        <v xml:space="preserve"> </v>
      </c>
      <c r="KY116" s="54" t="str">
        <f>IF('Final Exam'!AF$2=$A116,'Final Exam'!AF$46," ")</f>
        <v xml:space="preserve"> </v>
      </c>
      <c r="KZ116" s="54" t="str">
        <f>IF('Final Exam'!AG$1=$A116,'Final Exam'!AG$46," ")</f>
        <v xml:space="preserve"> </v>
      </c>
      <c r="LA116" s="54" t="str">
        <f>IF('Final Exam'!AG$2=$A116,'Final Exam'!AG$46," ")</f>
        <v xml:space="preserve"> </v>
      </c>
      <c r="LC116" s="180" t="str">
        <f>IF('Incomplete Final'!C$1=$A116,'Incomplete Final'!C$46," ")</f>
        <v xml:space="preserve"> </v>
      </c>
      <c r="LD116" s="180" t="str">
        <f>IF('Incomplete Final'!C$2=$A116,'Incomplete Final'!C$46," ")</f>
        <v xml:space="preserve"> </v>
      </c>
      <c r="LE116" s="180" t="str">
        <f>IF('Incomplete Final'!D$1=$A116,'Incomplete Final'!D$46," ")</f>
        <v xml:space="preserve"> </v>
      </c>
      <c r="LF116" s="180" t="str">
        <f>IF('Incomplete Final'!D$2=$A116,'Incomplete Final'!D$46," ")</f>
        <v xml:space="preserve"> </v>
      </c>
      <c r="LG116" s="180" t="str">
        <f>IF('Incomplete Final'!E$1=$A116,'Incomplete Final'!E$46," ")</f>
        <v xml:space="preserve"> </v>
      </c>
      <c r="LH116" s="180" t="str">
        <f>IF('Incomplete Final'!E$2=$A116,'Incomplete Final'!E$46," ")</f>
        <v xml:space="preserve"> </v>
      </c>
      <c r="LI116" s="180" t="str">
        <f>IF('Incomplete Final'!F$1=$A116,'Incomplete Final'!F$46," ")</f>
        <v xml:space="preserve"> </v>
      </c>
      <c r="LJ116" s="180" t="str">
        <f>IF('Incomplete Final'!F$2=$A116,'Incomplete Final'!F$46," ")</f>
        <v xml:space="preserve"> </v>
      </c>
      <c r="LK116" s="180" t="str">
        <f>IF('Incomplete Final'!G$1=$A116,'Incomplete Final'!G$46," ")</f>
        <v xml:space="preserve"> </v>
      </c>
      <c r="LL116" s="180" t="str">
        <f>IF('Incomplete Final'!G$2=$A116,'Incomplete Final'!G$46," ")</f>
        <v xml:space="preserve"> </v>
      </c>
      <c r="LM116" s="180" t="str">
        <f>IF('Incomplete Final'!H$1=$A116,'Incomplete Final'!H$46," ")</f>
        <v xml:space="preserve"> </v>
      </c>
      <c r="LN116" s="180" t="str">
        <f>IF('Incomplete Final'!H$2=$A116,'Incomplete Final'!H$46," ")</f>
        <v xml:space="preserve"> </v>
      </c>
      <c r="LO116" s="180" t="str">
        <f>IF('Incomplete Final'!I$1=$A116,'Incomplete Final'!I$46," ")</f>
        <v xml:space="preserve"> </v>
      </c>
      <c r="LP116" s="180" t="str">
        <f>IF('Incomplete Final'!I$2=$A116,'Incomplete Final'!I$46," ")</f>
        <v xml:space="preserve"> </v>
      </c>
      <c r="LQ116" s="180" t="str">
        <f>IF('Incomplete Final'!J$1=$A116,'Incomplete Final'!J$46," ")</f>
        <v xml:space="preserve"> </v>
      </c>
      <c r="LR116" s="180" t="str">
        <f>IF('Incomplete Final'!J$2=$A116,'Incomplete Final'!J$46," ")</f>
        <v xml:space="preserve"> </v>
      </c>
      <c r="LS116" s="180" t="str">
        <f>IF('Incomplete Final'!K$1=$A116,'Incomplete Final'!K$46," ")</f>
        <v xml:space="preserve"> </v>
      </c>
      <c r="LT116" s="180" t="str">
        <f>IF('Incomplete Final'!K$2=$A116,'Incomplete Final'!K$46," ")</f>
        <v xml:space="preserve"> </v>
      </c>
      <c r="LU116" s="180" t="str">
        <f>IF('Incomplete Final'!L$1=$A116,'Incomplete Final'!L$46," ")</f>
        <v xml:space="preserve"> </v>
      </c>
      <c r="LV116" s="180" t="str">
        <f>IF('Incomplete Final'!L$2=$A116,'Incomplete Final'!L$46," ")</f>
        <v xml:space="preserve"> </v>
      </c>
      <c r="LW116" s="180" t="str">
        <f>IF('Incomplete Final'!M$1=$A116,'Incomplete Final'!M$46," ")</f>
        <v xml:space="preserve"> </v>
      </c>
      <c r="LX116" s="180" t="str">
        <f>IF('Incomplete Final'!M$2=$A116,'Incomplete Final'!M$46," ")</f>
        <v xml:space="preserve"> </v>
      </c>
      <c r="LY116" s="180" t="str">
        <f>IF('Incomplete Final'!N$1=$A116,'Incomplete Final'!N$46," ")</f>
        <v xml:space="preserve"> </v>
      </c>
      <c r="LZ116" s="180" t="str">
        <f>IF('Incomplete Final'!N$2=$A116,'Incomplete Final'!N$46," ")</f>
        <v xml:space="preserve"> </v>
      </c>
      <c r="MA116" s="180" t="str">
        <f>IF('Incomplete Final'!O$1=$A116,'Incomplete Final'!O$46," ")</f>
        <v xml:space="preserve"> </v>
      </c>
      <c r="MB116" s="180" t="str">
        <f>IF('Incomplete Final'!O$2=$A116,'Incomplete Final'!AB$46," ")</f>
        <v xml:space="preserve"> </v>
      </c>
      <c r="MC116" s="180" t="str">
        <f>IF('Incomplete Final'!P$1=$A116,'Incomplete Final'!P$46," ")</f>
        <v xml:space="preserve"> </v>
      </c>
      <c r="MD116" s="180" t="str">
        <f>IF('Incomplete Final'!P$2=$A116,'Incomplete Final'!P$46," ")</f>
        <v xml:space="preserve"> </v>
      </c>
      <c r="ME116" s="180" t="str">
        <f>IF('Incomplete Final'!Q$1=$A116,'Incomplete Final'!Q$46," ")</f>
        <v xml:space="preserve"> </v>
      </c>
      <c r="MF116" s="180" t="str">
        <f>IF('Incomplete Final'!Q$2=$A116,'Incomplete Final'!Q$46," ")</f>
        <v xml:space="preserve"> </v>
      </c>
      <c r="MG116" s="180" t="str">
        <f>IF('Incomplete Final'!R$1=$A116,'Incomplete Final'!R$46," ")</f>
        <v xml:space="preserve"> </v>
      </c>
      <c r="MH116" s="180" t="str">
        <f>IF('Incomplete Final'!R$2=$A116,'Incomplete Final'!R$46," ")</f>
        <v xml:space="preserve"> </v>
      </c>
      <c r="MI116" s="180" t="str">
        <f>IF('Incomplete Final'!S$1=$A116,'Incomplete Final'!S$46," ")</f>
        <v xml:space="preserve"> </v>
      </c>
      <c r="MJ116" s="180" t="str">
        <f>IF('Incomplete Final'!S$2=$A116,'Incomplete Final'!S$46," ")</f>
        <v xml:space="preserve"> </v>
      </c>
      <c r="MK116" s="180" t="str">
        <f>IF('Incomplete Final'!T$1=$A116,'Incomplete Final'!T$46," ")</f>
        <v xml:space="preserve"> </v>
      </c>
      <c r="ML116" s="180" t="str">
        <f>IF('Incomplete Final'!T$2=$A116,'Incomplete Final'!T$46," ")</f>
        <v xml:space="preserve"> </v>
      </c>
      <c r="MM116" s="180" t="str">
        <f>IF('Incomplete Final'!U$1=$A116,'Incomplete Final'!U$46," ")</f>
        <v xml:space="preserve"> </v>
      </c>
      <c r="MN116" s="180" t="str">
        <f>IF('Incomplete Final'!U$2=$A116,'Incomplete Final'!U$46," ")</f>
        <v xml:space="preserve"> </v>
      </c>
      <c r="MO116" s="180" t="str">
        <f>IF('Incomplete Final'!V$1=$A116,'Incomplete Final'!V$46," ")</f>
        <v xml:space="preserve"> </v>
      </c>
      <c r="MP116" s="180" t="str">
        <f>IF('Incomplete Final'!V$2=$A116,'Incomplete Final'!V$46," ")</f>
        <v xml:space="preserve"> </v>
      </c>
      <c r="MQ116" s="180" t="str">
        <f>IF('Incomplete Final'!W$1=$A116,'Incomplete Final'!W$46," ")</f>
        <v xml:space="preserve"> </v>
      </c>
      <c r="MR116" s="180" t="str">
        <f>IF('Incomplete Final'!W$2=$A116,'Incomplete Final'!W$46," ")</f>
        <v xml:space="preserve"> </v>
      </c>
      <c r="MS116" s="180" t="str">
        <f>IF('Incomplete Final'!X$1=$A116,'Incomplete Final'!X$46," ")</f>
        <v xml:space="preserve"> </v>
      </c>
      <c r="MT116" s="180" t="str">
        <f>IF('Incomplete Final'!X$2=$A116,'Incomplete Final'!X$46," ")</f>
        <v xml:space="preserve"> </v>
      </c>
      <c r="MU116" s="180" t="str">
        <f>IF('Incomplete Final'!Y$1=$A116,'Incomplete Final'!Y$46," ")</f>
        <v xml:space="preserve"> </v>
      </c>
      <c r="MV116" s="180" t="str">
        <f>IF('Incomplete Final'!Y$2=$A116,'Incomplete Final'!Y$46," ")</f>
        <v xml:space="preserve"> </v>
      </c>
      <c r="MW116" s="180" t="str">
        <f>IF('Incomplete Final'!Z$1=$A116,'Incomplete Final'!Z$46," ")</f>
        <v xml:space="preserve"> </v>
      </c>
      <c r="MX116" s="180" t="str">
        <f>IF('Incomplete Final'!Z$2=$A116,'Incomplete Final'!Z$46," ")</f>
        <v xml:space="preserve"> </v>
      </c>
      <c r="MY116" s="180" t="str">
        <f>IF('Incomplete Final'!AA$1=$A116,'Incomplete Final'!AA$46," ")</f>
        <v xml:space="preserve"> </v>
      </c>
      <c r="MZ116" s="180" t="str">
        <f>IF('Incomplete Final'!AA$2=$A116,'Incomplete Final'!AA$46," ")</f>
        <v xml:space="preserve"> </v>
      </c>
      <c r="NA116" s="180" t="str">
        <f>IF('Incomplete Final'!AB$1=$A116,'Incomplete Final'!AB$46," ")</f>
        <v xml:space="preserve"> </v>
      </c>
      <c r="NB116" s="180" t="str">
        <f>IF('Incomplete Final'!AB$2=$A116,'Incomplete Final'!AB$46," ")</f>
        <v xml:space="preserve"> </v>
      </c>
      <c r="NC116" s="180" t="str">
        <f>IF('Incomplete Final'!AC$1=$A116,'Incomplete Final'!AC$46," ")</f>
        <v xml:space="preserve"> </v>
      </c>
      <c r="ND116" s="180" t="str">
        <f>IF('Incomplete Final'!AC$2=$A116,'Incomplete Final'!AC$46," ")</f>
        <v xml:space="preserve"> </v>
      </c>
      <c r="NE116" s="180" t="str">
        <f>IF('Incomplete Final'!AD$1=$A116,'Incomplete Final'!AD$46," ")</f>
        <v xml:space="preserve"> </v>
      </c>
      <c r="NF116" s="180" t="str">
        <f>IF('Incomplete Final'!AD$2=$A116,'Incomplete Final'!AD$46," ")</f>
        <v xml:space="preserve"> </v>
      </c>
      <c r="NG116" s="180" t="str">
        <f>IF('Incomplete Final'!AE$1=$A116,'Incomplete Final'!AE$46," ")</f>
        <v xml:space="preserve"> </v>
      </c>
      <c r="NH116" s="180" t="str">
        <f>IF('Incomplete Final'!AE$2=$A116,'Incomplete Final'!AE$46," ")</f>
        <v xml:space="preserve"> </v>
      </c>
      <c r="NI116" s="180" t="str">
        <f>IF('Incomplete Final'!AF$1=$A116,'Incomplete Final'!AF$46," ")</f>
        <v xml:space="preserve"> </v>
      </c>
      <c r="NJ116" s="180" t="str">
        <f>IF('Incomplete Final'!AF$2=$A116,'Incomplete Final'!AF$46," ")</f>
        <v xml:space="preserve"> </v>
      </c>
      <c r="NK116" s="180" t="str">
        <f>IF('Incomplete Final'!AG$1=$A116,'Incomplete Final'!AG$46," ")</f>
        <v xml:space="preserve"> </v>
      </c>
      <c r="NL116" s="180" t="str">
        <f>IF('Incomplete Final'!AG$2=$A116,'Incomplete Final'!AG$46," ")</f>
        <v xml:space="preserve"> </v>
      </c>
      <c r="NN116" s="53" t="str">
        <f>IF('Laboratory Final'!C$1=$A116,'Laboratory Final'!C$46," ")</f>
        <v xml:space="preserve"> </v>
      </c>
      <c r="NO116" s="53" t="str">
        <f>IF('Laboratory Final'!C$2=$A116,'Laboratory Final'!C$46," ")</f>
        <v xml:space="preserve"> </v>
      </c>
      <c r="NP116" s="53" t="str">
        <f>IF('Laboratory Final'!D$1=$A116,'Laboratory Final'!D$46," ")</f>
        <v xml:space="preserve"> </v>
      </c>
      <c r="NQ116" s="53" t="str">
        <f>IF('Laboratory Final'!D$2=$A116,'Laboratory Final'!D$46," ")</f>
        <v xml:space="preserve"> </v>
      </c>
      <c r="NR116" s="53" t="str">
        <f>IF('Laboratory Final'!E$1=$A116,'Laboratory Final'!E$46," ")</f>
        <v xml:space="preserve"> </v>
      </c>
      <c r="NS116" s="53" t="str">
        <f>IF('Laboratory Final'!E$2=$A116,'Laboratory Final'!E$46," ")</f>
        <v xml:space="preserve"> </v>
      </c>
      <c r="NT116" s="53" t="str">
        <f>IF('Laboratory Final'!F$1=$A116,'Laboratory Final'!F$46," ")</f>
        <v xml:space="preserve"> </v>
      </c>
      <c r="NU116" s="53" t="str">
        <f>IF('Laboratory Final'!F$2=$A116,'Laboratory Final'!F$46," ")</f>
        <v xml:space="preserve"> </v>
      </c>
      <c r="NV116" s="53" t="str">
        <f>IF('Laboratory Final'!G$1=$A116,'Laboratory Final'!G$46," ")</f>
        <v xml:space="preserve"> </v>
      </c>
      <c r="NW116" s="53" t="str">
        <f>IF('Laboratory Final'!G$2=$A116,'Laboratory Final'!G$46," ")</f>
        <v xml:space="preserve"> </v>
      </c>
      <c r="NX116" s="53" t="str">
        <f>IF('Laboratory Final'!H$1=$A116,'Laboratory Final'!H$46," ")</f>
        <v xml:space="preserve"> </v>
      </c>
      <c r="NY116" s="53" t="str">
        <f>IF('Laboratory Final'!H$2=$A116,'Laboratory Final'!H$46," ")</f>
        <v xml:space="preserve"> </v>
      </c>
      <c r="NZ116" s="53" t="str">
        <f>IF('Laboratory Final'!I$1=$A116,'Laboratory Final'!I$46," ")</f>
        <v xml:space="preserve"> </v>
      </c>
      <c r="OA116" s="53" t="str">
        <f>IF('Laboratory Final'!I$2=$A116,'Laboratory Final'!I$46," ")</f>
        <v xml:space="preserve"> </v>
      </c>
      <c r="OB116" s="53" t="str">
        <f>IF('Laboratory Final'!J$1=$A116,'Laboratory Final'!J$46," ")</f>
        <v xml:space="preserve"> </v>
      </c>
      <c r="OC116" s="53" t="str">
        <f>IF('Laboratory Final'!J$2=$A116,'Laboratory Final'!J$46," ")</f>
        <v xml:space="preserve"> </v>
      </c>
      <c r="OD116" s="53" t="str">
        <f>IF('Laboratory Final'!K$1=$A116,'Laboratory Final'!K$46," ")</f>
        <v xml:space="preserve"> </v>
      </c>
      <c r="OE116" s="53" t="str">
        <f>IF('Laboratory Final'!K$2=$A116,'Laboratory Final'!K$46," ")</f>
        <v xml:space="preserve"> </v>
      </c>
      <c r="OF116" s="53" t="str">
        <f>IF('Laboratory Final'!L$1=$A116,'Laboratory Final'!L$46," ")</f>
        <v xml:space="preserve"> </v>
      </c>
      <c r="OG116" s="53" t="str">
        <f>IF('Laboratory Final'!L$2=$A116,'Laboratory Final'!L$46," ")</f>
        <v xml:space="preserve"> </v>
      </c>
      <c r="OI116" s="192" t="e">
        <f t="shared" si="14"/>
        <v>#DIV/0!</v>
      </c>
    </row>
    <row r="117" spans="1:399" ht="18.75" x14ac:dyDescent="0.3">
      <c r="A117" s="48">
        <v>12</v>
      </c>
      <c r="B117" s="55">
        <f>IF(SUM(D117:LA117)=0,0,AVERAGE('Course Analysis'!D117:LA117))</f>
        <v>0</v>
      </c>
      <c r="D117" s="53" t="str">
        <f>IF(Project!C$1=$A117,Project!C$46," ")</f>
        <v xml:space="preserve"> </v>
      </c>
      <c r="E117" s="53" t="str">
        <f>IF(Project!C$2=$A117,Project!C$46," ")</f>
        <v xml:space="preserve"> </v>
      </c>
      <c r="F117" s="53" t="str">
        <f>IF(Project!D$1=$A117,Project!D$46," ")</f>
        <v xml:space="preserve"> </v>
      </c>
      <c r="G117" s="53" t="str">
        <f>IF(Project!D$2=$A117,Project!D$46," ")</f>
        <v xml:space="preserve"> </v>
      </c>
      <c r="H117" s="53" t="str">
        <f>IF(Project!E$1=$A117,Project!E$46," ")</f>
        <v xml:space="preserve"> </v>
      </c>
      <c r="I117" s="53" t="str">
        <f>IF(Project!E$2=$A117,Project!E$46," ")</f>
        <v xml:space="preserve"> </v>
      </c>
      <c r="J117" s="53" t="str">
        <f>IF(Project!F$1=$A117,Project!F$46," ")</f>
        <v xml:space="preserve"> </v>
      </c>
      <c r="K117" s="53" t="str">
        <f>IF(Project!F$2=$A117,Project!F$46," ")</f>
        <v xml:space="preserve"> </v>
      </c>
      <c r="L117" s="53" t="str">
        <f>IF(Project!G$1=$A117,Project!G$46," ")</f>
        <v xml:space="preserve"> </v>
      </c>
      <c r="M117" s="53" t="str">
        <f>IF(Project!G$2=$A117,Project!G$46," ")</f>
        <v xml:space="preserve"> </v>
      </c>
      <c r="N117" s="53" t="str">
        <f>IF(Project!H$1=$A117,Project!H$46," ")</f>
        <v xml:space="preserve"> </v>
      </c>
      <c r="O117" s="53" t="str">
        <f>IF(Project!H$2=$A117,Project!H$46," ")</f>
        <v xml:space="preserve"> </v>
      </c>
      <c r="P117" s="53" t="str">
        <f>IF(Project!I$1=$A117,Project!I$46," ")</f>
        <v xml:space="preserve"> </v>
      </c>
      <c r="Q117" s="53" t="str">
        <f>IF(Project!I$2=$A117,Project!I$46," ")</f>
        <v xml:space="preserve"> </v>
      </c>
      <c r="R117" s="53" t="str">
        <f>IF(Project!J$1=$A117,Project!J$46," ")</f>
        <v xml:space="preserve"> </v>
      </c>
      <c r="S117" s="53" t="str">
        <f>IF(Project!J$2=$A117,Project!J$46," ")</f>
        <v xml:space="preserve"> </v>
      </c>
      <c r="T117" s="53" t="str">
        <f>IF(Project!K$1=$A117,Project!K$46," ")</f>
        <v xml:space="preserve"> </v>
      </c>
      <c r="U117" s="53" t="str">
        <f>IF(Project!K$2=$A117,Project!K$46," ")</f>
        <v xml:space="preserve"> </v>
      </c>
      <c r="V117" s="53" t="str">
        <f>IF(Project!L$1=$A117,Project!L$46," ")</f>
        <v xml:space="preserve"> </v>
      </c>
      <c r="W117" s="53" t="str">
        <f>IF(Project!L$2=$A117,Project!L$46," ")</f>
        <v xml:space="preserve"> </v>
      </c>
      <c r="Y117" s="53" t="str">
        <f>IF(Homework!C$1=$A117,Homework!C$46," ")</f>
        <v xml:space="preserve"> </v>
      </c>
      <c r="Z117" s="53" t="str">
        <f>IF(Homework!C$2=$A117,Homework!C$46," ")</f>
        <v xml:space="preserve"> </v>
      </c>
      <c r="AA117" s="53" t="str">
        <f>IF(Homework!D$1=$A117,Homework!D$46," ")</f>
        <v xml:space="preserve"> </v>
      </c>
      <c r="AB117" s="53" t="str">
        <f>IF(Homework!D$2=$A117,Homework!D$46," ")</f>
        <v xml:space="preserve"> </v>
      </c>
      <c r="AC117" s="53" t="str">
        <f>IF(Homework!E$1=$A117,Homework!E$46," ")</f>
        <v xml:space="preserve"> </v>
      </c>
      <c r="AD117" s="53" t="str">
        <f>IF(Homework!E$2=$A117,Homework!E$46," ")</f>
        <v xml:space="preserve"> </v>
      </c>
      <c r="AE117" s="53" t="str">
        <f>IF(Homework!F$1=$A117,Homework!F$46," ")</f>
        <v xml:space="preserve"> </v>
      </c>
      <c r="AF117" s="53" t="str">
        <f>IF(Homework!F$2=$A117,Homework!F$46," ")</f>
        <v xml:space="preserve"> </v>
      </c>
      <c r="AG117" s="53" t="str">
        <f>IF(Homework!G$1=$A117,Homework!G$46," ")</f>
        <v xml:space="preserve"> </v>
      </c>
      <c r="AH117" s="53" t="str">
        <f>IF(Homework!G$2=$A117,Homework!G$46," ")</f>
        <v xml:space="preserve"> </v>
      </c>
      <c r="AI117" s="53" t="str">
        <f>IF(Homework!H$1=$A117,Homework!H$46," ")</f>
        <v xml:space="preserve"> </v>
      </c>
      <c r="AJ117" s="53" t="str">
        <f>IF(Homework!H$2=$A117,Homework!H$46," ")</f>
        <v xml:space="preserve"> </v>
      </c>
      <c r="AK117" s="53" t="str">
        <f>IF(Homework!I$1=$A117,Homework!I$46," ")</f>
        <v xml:space="preserve"> </v>
      </c>
      <c r="AL117" s="53" t="str">
        <f>IF(Homework!I$2=$A117,Homework!I$46," ")</f>
        <v xml:space="preserve"> </v>
      </c>
      <c r="AM117" s="53" t="str">
        <f>IF(Homework!J$1=$A117,Homework!J$46," ")</f>
        <v xml:space="preserve"> </v>
      </c>
      <c r="AN117" s="53" t="str">
        <f>IF(Homework!J$2=$A117,Homework!J$46," ")</f>
        <v xml:space="preserve"> </v>
      </c>
      <c r="AO117" s="53" t="str">
        <f>IF(Homework!K$1=$A117,Homework!K$46," ")</f>
        <v xml:space="preserve"> </v>
      </c>
      <c r="AP117" s="53" t="str">
        <f>IF(Homework!K$2=$A117,Homework!K$46," ")</f>
        <v xml:space="preserve"> </v>
      </c>
      <c r="AQ117" s="53" t="str">
        <f>IF(Homework!L$1=$A117,Homework!L$46," ")</f>
        <v xml:space="preserve"> </v>
      </c>
      <c r="AR117" s="53" t="str">
        <f>IF(Homework!L$2=$A117,Homework!L$46," ")</f>
        <v xml:space="preserve"> </v>
      </c>
      <c r="AS117" s="53" t="str">
        <f>IF(Homework!M$1=$A117,Homework!M$46," ")</f>
        <v xml:space="preserve"> </v>
      </c>
      <c r="AT117" s="53" t="str">
        <f>IF(Homework!M$2=$A117,Homework!M$46," ")</f>
        <v xml:space="preserve"> </v>
      </c>
      <c r="AU117" s="53" t="str">
        <f>IF(Homework!N$1=$A117,Homework!N$46," ")</f>
        <v xml:space="preserve"> </v>
      </c>
      <c r="AV117" s="53" t="str">
        <f>IF(Homework!N$2=$A117,Homework!N$46," ")</f>
        <v xml:space="preserve"> </v>
      </c>
      <c r="AW117" s="53" t="str">
        <f>IF(Homework!O$1=$A117,Homework!O$46," ")</f>
        <v xml:space="preserve"> </v>
      </c>
      <c r="AX117" s="53" t="str">
        <f>IF(Homework!O$2=$A117,Homework!O$46," ")</f>
        <v xml:space="preserve"> </v>
      </c>
      <c r="AY117" s="53" t="str">
        <f>IF(Homework!P$1=$A117,Homework!P$46," ")</f>
        <v xml:space="preserve"> </v>
      </c>
      <c r="AZ117" s="53" t="str">
        <f>IF(Homework!P$2=$A117,Homework!P$46," ")</f>
        <v xml:space="preserve"> </v>
      </c>
      <c r="BA117" s="53" t="str">
        <f>IF(Homework!Q$1=$A117,Homework!Q$46," ")</f>
        <v xml:space="preserve"> </v>
      </c>
      <c r="BB117" s="53" t="str">
        <f>IF(Homework!Q$2=$A117,Homework!Q$46," ")</f>
        <v xml:space="preserve"> </v>
      </c>
      <c r="BC117" s="53" t="str">
        <f>IF(Homework!R$1=$A117,Homework!R$46," ")</f>
        <v xml:space="preserve"> </v>
      </c>
      <c r="BD117" s="53" t="str">
        <f>IF(Homework!R$2=$A117,Homework!R$46," ")</f>
        <v xml:space="preserve"> </v>
      </c>
      <c r="BE117" s="53" t="str">
        <f>IF(Homework!S$1=$A117,Homework!S$46," ")</f>
        <v xml:space="preserve"> </v>
      </c>
      <c r="BF117" s="53" t="str">
        <f>IF(Homework!S$2=$A117,Homework!S$46," ")</f>
        <v xml:space="preserve"> </v>
      </c>
      <c r="BG117" s="53" t="str">
        <f>IF(Homework!T$1=$A117,Homework!T$46," ")</f>
        <v xml:space="preserve"> </v>
      </c>
      <c r="BH117" s="53" t="str">
        <f>IF(Homework!T$2=$A117,Homework!T$46," ")</f>
        <v xml:space="preserve"> </v>
      </c>
      <c r="BI117" s="53" t="str">
        <f>IF(Homework!U$1=$A117,Homework!U$46," ")</f>
        <v xml:space="preserve"> </v>
      </c>
      <c r="BJ117" s="53" t="str">
        <f>IF(Homework!U$2=$A117,Homework!U$46," ")</f>
        <v xml:space="preserve"> </v>
      </c>
      <c r="BK117" s="53" t="str">
        <f>IF(Homework!V$1=$A117,Homework!V$46," ")</f>
        <v xml:space="preserve"> </v>
      </c>
      <c r="BL117" s="53" t="str">
        <f>IF(Homework!V$2=$A117,Homework!V$46," ")</f>
        <v xml:space="preserve"> </v>
      </c>
      <c r="BN117" s="66" t="str">
        <f>IF(Laboratory!C$1=$A117,Laboratory!C$46," ")</f>
        <v xml:space="preserve"> </v>
      </c>
      <c r="BO117" s="66" t="str">
        <f>IF(Laboratory!C$2=$A117,Laboratory!C$46," ")</f>
        <v xml:space="preserve"> </v>
      </c>
      <c r="BP117" s="66" t="str">
        <f>IF(Laboratory!D$1=$A117,Laboratory!D$46," ")</f>
        <v xml:space="preserve"> </v>
      </c>
      <c r="BQ117" s="66" t="str">
        <f>IF(Laboratory!D$2=$A117,Laboratory!D$46," ")</f>
        <v xml:space="preserve"> </v>
      </c>
      <c r="BR117" s="66" t="str">
        <f>IF(Laboratory!E$1=$A117,Laboratory!E$46," ")</f>
        <v xml:space="preserve"> </v>
      </c>
      <c r="BS117" s="66" t="str">
        <f>IF(Laboratory!E$2=$A117,Laboratory!E$46," ")</f>
        <v xml:space="preserve"> </v>
      </c>
      <c r="BT117" s="66" t="str">
        <f>IF(Laboratory!F$1=$A117,Laboratory!F$46," ")</f>
        <v xml:space="preserve"> </v>
      </c>
      <c r="BU117" s="66" t="str">
        <f>IF(Laboratory!F$2=$A117,Laboratory!F$46," ")</f>
        <v xml:space="preserve"> </v>
      </c>
      <c r="BV117" s="66" t="str">
        <f>IF(Laboratory!G$1=$A117,Laboratory!G$46," ")</f>
        <v xml:space="preserve"> </v>
      </c>
      <c r="BW117" s="66" t="str">
        <f>IF(Laboratory!G$2=$A117,Laboratory!G$46," ")</f>
        <v xml:space="preserve"> </v>
      </c>
      <c r="BX117" s="66" t="str">
        <f>IF(Laboratory!H$1=$A117,Laboratory!H$46," ")</f>
        <v xml:space="preserve"> </v>
      </c>
      <c r="BY117" s="66" t="str">
        <f>IF(Laboratory!H$2=$A117,Laboratory!H$46," ")</f>
        <v xml:space="preserve"> </v>
      </c>
      <c r="BZ117" s="66"/>
      <c r="CA117" s="66" t="str">
        <f>IF(Laboratory!I$2=$A117,Laboratory!I$46," ")</f>
        <v xml:space="preserve"> </v>
      </c>
      <c r="CB117" s="66"/>
      <c r="CC117" s="66" t="str">
        <f>IF(Laboratory!J$2=$A117,Laboratory!J$46," ")</f>
        <v xml:space="preserve"> </v>
      </c>
      <c r="CD117" s="66" t="str">
        <f>IF(Laboratory!K$1=$A117,Laboratory!K$46," ")</f>
        <v xml:space="preserve"> </v>
      </c>
      <c r="CE117" s="66" t="str">
        <f>IF(Laboratory!K$2=$A117,Laboratory!K$46," ")</f>
        <v xml:space="preserve"> </v>
      </c>
      <c r="CF117" s="66" t="str">
        <f>IF(Laboratory!L$1=$A117,Laboratory!L$46," ")</f>
        <v xml:space="preserve"> </v>
      </c>
      <c r="CG117" s="66" t="str">
        <f>IF(Laboratory!L$2=$A117,Laboratory!L$46," ")</f>
        <v xml:space="preserve"> </v>
      </c>
      <c r="CH117" s="66" t="str">
        <f>IF(Laboratory!M$1=$A117,Laboratory!M$46," ")</f>
        <v xml:space="preserve"> </v>
      </c>
      <c r="CI117" s="66" t="str">
        <f>IF(Laboratory!M$2=$A117,Laboratory!M$46," ")</f>
        <v xml:space="preserve"> </v>
      </c>
      <c r="CJ117" s="66" t="str">
        <f>IF(Laboratory!N$1=$A117,Laboratory!N$46," ")</f>
        <v xml:space="preserve"> </v>
      </c>
      <c r="CK117" s="66" t="str">
        <f>IF(Laboratory!N$2=$A117,Laboratory!N$46," ")</f>
        <v xml:space="preserve"> </v>
      </c>
      <c r="CL117" s="66" t="str">
        <f>IF(Laboratory!O$1=$A117,Laboratory!O$46," ")</f>
        <v xml:space="preserve"> </v>
      </c>
      <c r="CM117" s="66" t="str">
        <f>IF(Laboratory!O$2=$A117,Laboratory!O$46," ")</f>
        <v xml:space="preserve"> </v>
      </c>
      <c r="CN117" s="66" t="str">
        <f>IF(Laboratory!P$1=$A117,Laboratory!P$46," ")</f>
        <v xml:space="preserve"> </v>
      </c>
      <c r="CO117" s="66" t="str">
        <f>IF(Laboratory!P$2=$A117,Laboratory!P$46," ")</f>
        <v xml:space="preserve"> </v>
      </c>
      <c r="CQ117" s="52" t="str">
        <f>IF(Quizzes!C$1=$A117,Quizzes!C$46," ")</f>
        <v xml:space="preserve"> </v>
      </c>
      <c r="CR117" s="52" t="str">
        <f>IF(Quizzes!C$2=$A117,Quizzes!C$46," ")</f>
        <v xml:space="preserve"> </v>
      </c>
      <c r="CS117" s="52" t="str">
        <f>IF(Quizzes!D$1=$A117,Quizzes!D$46," ")</f>
        <v xml:space="preserve"> </v>
      </c>
      <c r="CT117" s="52" t="str">
        <f>IF(Quizzes!D$2=$A117,Quizzes!D$46," ")</f>
        <v xml:space="preserve"> </v>
      </c>
      <c r="CU117" s="52" t="str">
        <f>IF(Quizzes!E$1=$A117,Quizzes!E$46," ")</f>
        <v xml:space="preserve"> </v>
      </c>
      <c r="CV117" s="52" t="str">
        <f>IF(Quizzes!E$2=$A117,Quizzes!E$46," ")</f>
        <v xml:space="preserve"> </v>
      </c>
      <c r="CW117" s="52" t="str">
        <f>IF(Quizzes!F$1=$A117,Quizzes!F$46," ")</f>
        <v xml:space="preserve"> </v>
      </c>
      <c r="CX117" s="52" t="str">
        <f>IF(Quizzes!F$2=$A117,Quizzes!F$46," ")</f>
        <v xml:space="preserve"> </v>
      </c>
      <c r="CY117" s="52" t="str">
        <f>IF(Quizzes!G$1=$A117,Quizzes!G$46," ")</f>
        <v xml:space="preserve"> </v>
      </c>
      <c r="CZ117" s="52" t="str">
        <f>IF(Quizzes!G$2=$A117,Quizzes!G$46," ")</f>
        <v xml:space="preserve"> </v>
      </c>
      <c r="DA117" s="52" t="str">
        <f>IF(Quizzes!H$1=$A117,Quizzes!H$46," ")</f>
        <v xml:space="preserve"> </v>
      </c>
      <c r="DB117" s="52" t="str">
        <f>IF(Quizzes!H$2=$A117,Quizzes!H$46," ")</f>
        <v xml:space="preserve"> </v>
      </c>
      <c r="DC117" s="52" t="str">
        <f>IF(Quizzes!I$1=$A117,Quizzes!I$46," ")</f>
        <v xml:space="preserve"> </v>
      </c>
      <c r="DD117" s="52" t="str">
        <f>IF(Quizzes!I$2=$A117,Quizzes!I$46," ")</f>
        <v xml:space="preserve"> </v>
      </c>
      <c r="DE117" s="52" t="str">
        <f>IF(Quizzes!J$1=$A117,Quizzes!J$46," ")</f>
        <v xml:space="preserve"> </v>
      </c>
      <c r="DF117" s="52" t="str">
        <f>IF(Quizzes!J$2=$A117,Quizzes!J$46," ")</f>
        <v xml:space="preserve"> </v>
      </c>
      <c r="DG117" s="52" t="str">
        <f>IF(Quizzes!K$1=$A117,Quizzes!K$46," ")</f>
        <v xml:space="preserve"> </v>
      </c>
      <c r="DH117" s="52" t="str">
        <f>IF(Quizzes!K$2=$A117,Quizzes!K$46," ")</f>
        <v xml:space="preserve"> </v>
      </c>
      <c r="DI117" s="52" t="str">
        <f>IF(Quizzes!L$1=$A117,Quizzes!L$46," ")</f>
        <v xml:space="preserve"> </v>
      </c>
      <c r="DJ117" s="52" t="str">
        <f>IF(Quizzes!L$2=$A117,Quizzes!L$46," ")</f>
        <v xml:space="preserve"> </v>
      </c>
      <c r="DK117" s="52" t="str">
        <f>IF(Quizzes!M$1=$A117,Quizzes!M$46," ")</f>
        <v xml:space="preserve"> </v>
      </c>
      <c r="DL117" s="52" t="str">
        <f>IF(Quizzes!M$2=$A117,Quizzes!M$46," ")</f>
        <v xml:space="preserve"> </v>
      </c>
      <c r="DM117" s="52" t="str">
        <f>IF(Quizzes!N$1=$A117,Quizzes!N$46," ")</f>
        <v xml:space="preserve"> </v>
      </c>
      <c r="DN117" s="52" t="str">
        <f>IF(Quizzes!N$2=$A117,Quizzes!N$46," ")</f>
        <v xml:space="preserve"> </v>
      </c>
      <c r="DO117" s="52" t="str">
        <f>IF(Quizzes!O$1=$A117,Quizzes!O$46," ")</f>
        <v xml:space="preserve"> </v>
      </c>
      <c r="DP117" s="52" t="str">
        <f>IF(Quizzes!O$2=$A117,Quizzes!O$46," ")</f>
        <v xml:space="preserve"> </v>
      </c>
      <c r="DQ117" s="52" t="str">
        <f>IF(Quizzes!P$1=$A117,Quizzes!P$46," ")</f>
        <v xml:space="preserve"> </v>
      </c>
      <c r="DR117" s="52" t="str">
        <f>IF(Quizzes!P$2=$A117,Quizzes!P$46," ")</f>
        <v xml:space="preserve"> </v>
      </c>
      <c r="DS117" s="52" t="str">
        <f>IF(Quizzes!Q$1=$A117,Quizzes!Q$46," ")</f>
        <v xml:space="preserve"> </v>
      </c>
      <c r="DT117" s="52" t="str">
        <f>IF(Quizzes!Q$1=$A117,Quizzes!Q$46," ")</f>
        <v xml:space="preserve"> </v>
      </c>
      <c r="DV117" s="25" t="str">
        <f>IF('Midterm 1'!C$1=$A117,'Midterm 1'!C$47," ")</f>
        <v xml:space="preserve"> </v>
      </c>
      <c r="DW117" s="25" t="str">
        <f>IF('Midterm 1'!C$2=$A117,'Midterm 1'!C$47," ")</f>
        <v xml:space="preserve"> </v>
      </c>
      <c r="DX117" s="25" t="str">
        <f>IF('Midterm 1'!D$1=$A117,'Midterm 1'!D$47," ")</f>
        <v xml:space="preserve"> </v>
      </c>
      <c r="DY117" s="25" t="str">
        <f>IF('Midterm 1'!D$2=$A117,'Midterm 1'!D$47," ")</f>
        <v xml:space="preserve"> </v>
      </c>
      <c r="DZ117" s="25" t="str">
        <f>IF('Midterm 1'!E$1=$A117,'Midterm 1'!E$47," ")</f>
        <v xml:space="preserve"> </v>
      </c>
      <c r="EA117" s="25" t="str">
        <f>IF('Midterm 1'!E$2=$A117,'Midterm 1'!E$47," ")</f>
        <v xml:space="preserve"> </v>
      </c>
      <c r="EB117" s="25" t="str">
        <f>IF('Midterm 1'!F$1=$A117,'Midterm 1'!F$47," ")</f>
        <v xml:space="preserve"> </v>
      </c>
      <c r="EC117" s="25" t="str">
        <f>IF('Midterm 1'!F$2=$A117,'Midterm 1'!F$47," ")</f>
        <v xml:space="preserve"> </v>
      </c>
      <c r="ED117" s="25" t="str">
        <f>IF('Midterm 1'!G$1=$A117,'Midterm 1'!G$47," ")</f>
        <v xml:space="preserve"> </v>
      </c>
      <c r="EE117" s="25" t="str">
        <f>IF('Midterm 1'!G$2=$A117,'Midterm 1'!G$47," ")</f>
        <v xml:space="preserve"> </v>
      </c>
      <c r="EF117" s="25" t="str">
        <f>IF('Midterm 1'!H$1=$A117,'Midterm 1'!I$47," ")</f>
        <v xml:space="preserve"> </v>
      </c>
      <c r="EG117" s="25" t="str">
        <f>IF('Midterm 1'!H$2=$A117,'Midterm 1'!H$47," ")</f>
        <v xml:space="preserve"> </v>
      </c>
      <c r="EH117" s="25" t="str">
        <f>IF('Midterm 1'!I$1=$A117,'Midterm 1'!I$47," ")</f>
        <v xml:space="preserve"> </v>
      </c>
      <c r="EI117" s="25" t="str">
        <f>IF('Midterm 1'!I$2=$A117,'Midterm 1'!I$47," ")</f>
        <v xml:space="preserve"> </v>
      </c>
      <c r="EJ117" s="25" t="str">
        <f>IF('Midterm 1'!J$1=$A117,'Midterm 1'!J$47," ")</f>
        <v xml:space="preserve"> </v>
      </c>
      <c r="EK117" s="25" t="str">
        <f>IF('Midterm 1'!J$2=$A117,'Midterm 1'!J$47," ")</f>
        <v xml:space="preserve"> </v>
      </c>
      <c r="EL117" s="25" t="str">
        <f>IF('Midterm 1'!K$1=$A117,'Midterm 1'!K$47," ")</f>
        <v xml:space="preserve"> </v>
      </c>
      <c r="EM117" s="25" t="str">
        <f>IF('Midterm 1'!K$2=$A117,'Midterm 1'!K$47," ")</f>
        <v xml:space="preserve"> </v>
      </c>
      <c r="EN117" s="25" t="str">
        <f>IF('Midterm 1'!L$1=$A117,'Midterm 1'!L$47," ")</f>
        <v xml:space="preserve"> </v>
      </c>
      <c r="EO117" s="25" t="str">
        <f>IF('Midterm 1'!L$2=$A117,'Midterm 1'!L$47," ")</f>
        <v xml:space="preserve"> </v>
      </c>
      <c r="EP117" s="25" t="str">
        <f>IF('Midterm 1'!M$1=$A117,'Midterm 1'!M$47," ")</f>
        <v xml:space="preserve"> </v>
      </c>
      <c r="EQ117" s="25" t="str">
        <f>IF('Midterm 1'!M$2=$A117,'Midterm 1'!M$47," ")</f>
        <v xml:space="preserve"> </v>
      </c>
      <c r="ER117" s="25" t="str">
        <f>IF('Midterm 1'!N$1=$A117,'Midterm 1'!N$47," ")</f>
        <v xml:space="preserve"> </v>
      </c>
      <c r="ES117" s="25" t="str">
        <f>IF('Midterm 1'!N$2=$A117,'Midterm 1'!N$47," ")</f>
        <v xml:space="preserve"> </v>
      </c>
      <c r="ET117" s="25" t="str">
        <f>IF('Midterm 1'!O$1=$A117,'Midterm 1'!O$47," ")</f>
        <v xml:space="preserve"> </v>
      </c>
      <c r="EU117" s="25" t="str">
        <f>IF('Midterm 1'!O$2=$A117,'Midterm 1'!O$47," ")</f>
        <v xml:space="preserve"> </v>
      </c>
      <c r="EV117" s="25" t="str">
        <f>IF('Midterm 1'!P$1=$A117,'Midterm 1'!P$47," ")</f>
        <v xml:space="preserve"> </v>
      </c>
      <c r="EW117" s="25" t="str">
        <f>IF('Midterm 1'!P$2=$A117,'Midterm 1'!P$47," ")</f>
        <v xml:space="preserve"> </v>
      </c>
      <c r="EX117" s="25" t="str">
        <f>IF('Midterm 1'!Q$1=$A117,'Midterm 1'!Q$47," ")</f>
        <v xml:space="preserve"> </v>
      </c>
      <c r="EY117" s="25" t="str">
        <f>IF('Midterm 1'!Q$2=$A117,'Midterm 1'!Q$47," ")</f>
        <v xml:space="preserve"> </v>
      </c>
      <c r="EZ117" s="25" t="str">
        <f>IF('Midterm 1'!R$1=$A117,'Midterm 1'!R$47," ")</f>
        <v xml:space="preserve"> </v>
      </c>
      <c r="FA117" s="25" t="str">
        <f>IF('Midterm 1'!R$2=$A117,'Midterm 1'!R$47," ")</f>
        <v xml:space="preserve"> </v>
      </c>
      <c r="FB117" s="25" t="str">
        <f>IF('Midterm 1'!S$1=$A117,'Midterm 1'!S$47," ")</f>
        <v xml:space="preserve"> </v>
      </c>
      <c r="FC117" s="25" t="str">
        <f>IF('Midterm 1'!S$2=$A117,'Midterm 1'!S$47," ")</f>
        <v xml:space="preserve"> </v>
      </c>
      <c r="FD117" s="25" t="str">
        <f>IF('Midterm 1'!T$1=$A117,'Midterm 1'!T$47," ")</f>
        <v xml:space="preserve"> </v>
      </c>
      <c r="FE117" s="25" t="str">
        <f>IF('Midterm 1'!T$2=$A117,'Midterm 1'!T$47," ")</f>
        <v xml:space="preserve"> </v>
      </c>
      <c r="FF117" s="25" t="str">
        <f>IF('Midterm 1'!U$1=$A117,'Midterm 1'!U$47," ")</f>
        <v xml:space="preserve"> </v>
      </c>
      <c r="FG117" s="25" t="str">
        <f>IF('Midterm 1'!U$2=$A117,'Midterm 1'!U$47," ")</f>
        <v xml:space="preserve"> </v>
      </c>
      <c r="FH117" s="25" t="str">
        <f>IF('Midterm 1'!V$1=$A117,'Midterm 1'!V$47," ")</f>
        <v xml:space="preserve"> </v>
      </c>
      <c r="FI117" s="25" t="str">
        <f>IF('Midterm 1'!V$2=$A117,'Midterm 1'!V$47," ")</f>
        <v xml:space="preserve"> </v>
      </c>
      <c r="FJ117" s="25" t="str">
        <f>IF('Midterm 1'!W$1=$A117,'Midterm 1'!W$47," ")</f>
        <v xml:space="preserve"> </v>
      </c>
      <c r="FK117" s="25" t="str">
        <f>IF('Midterm 1'!W$2=$A117,'Midterm 1'!W$47," ")</f>
        <v xml:space="preserve"> </v>
      </c>
      <c r="FL117" s="25" t="str">
        <f>IF('Midterm 1'!X$1=$A117,'Midterm 1'!X$47," ")</f>
        <v xml:space="preserve"> </v>
      </c>
      <c r="FM117" s="25" t="str">
        <f>IF('Midterm 1'!X$2=$A117,'Midterm 1'!X$47," ")</f>
        <v xml:space="preserve"> </v>
      </c>
      <c r="FN117" s="25" t="str">
        <f>IF('Midterm 1'!Y$1=$A117,'Midterm 1'!Y$47," ")</f>
        <v xml:space="preserve"> </v>
      </c>
      <c r="FO117" s="25" t="str">
        <f>IF('Midterm 1'!Y$2=$A117,'Midterm 1'!Y$47," ")</f>
        <v xml:space="preserve"> </v>
      </c>
      <c r="FP117" s="25" t="str">
        <f>IF('Midterm 1'!Z$1=$A117,'Midterm 1'!Z$47," ")</f>
        <v xml:space="preserve"> </v>
      </c>
      <c r="FQ117" s="25" t="str">
        <f>IF('Midterm 1'!Z$2=$A117,'Midterm 1'!Z$47," ")</f>
        <v xml:space="preserve"> </v>
      </c>
      <c r="FR117" s="25" t="str">
        <f>IF('Midterm 1'!AA$1=$A117,'Midterm 1'!AA$47," ")</f>
        <v xml:space="preserve"> </v>
      </c>
      <c r="FS117" s="25" t="str">
        <f>IF('Midterm 1'!AA$2=$A117,'Midterm 1'!AA$47," ")</f>
        <v xml:space="preserve"> </v>
      </c>
      <c r="FT117" s="25" t="str">
        <f>IF('Midterm 1'!AB$1=$A117,'Midterm 1'!AB$47," ")</f>
        <v xml:space="preserve"> </v>
      </c>
      <c r="FU117" s="25" t="str">
        <f>IF('Midterm 1'!AB$2=$A117,'Midterm 1'!AB$47," ")</f>
        <v xml:space="preserve"> </v>
      </c>
      <c r="FV117" s="25" t="str">
        <f>IF('Midterm 1'!AC$1=$A117,'Midterm 1'!AC$47," ")</f>
        <v xml:space="preserve"> </v>
      </c>
      <c r="FW117" s="25" t="str">
        <f>IF('Midterm 1'!AC$2=$A117,'Midterm 1'!AC$47," ")</f>
        <v xml:space="preserve"> </v>
      </c>
      <c r="FX117" s="25" t="str">
        <f>IF('Midterm 1'!AD$1=$A117,'Midterm 1'!AD$47," ")</f>
        <v xml:space="preserve"> </v>
      </c>
      <c r="FY117" s="25" t="str">
        <f>IF('Midterm 1'!AD$2=$A117,'Midterm 1'!AD$47," ")</f>
        <v xml:space="preserve"> </v>
      </c>
      <c r="FZ117" s="25" t="str">
        <f>IF('Midterm 1'!AE$1=$A117,'Midterm 1'!AE$47," ")</f>
        <v xml:space="preserve"> </v>
      </c>
      <c r="GA117" s="25" t="str">
        <f>IF('Midterm 1'!AE$2=$A117,'Midterm 1'!AE$47," ")</f>
        <v xml:space="preserve"> </v>
      </c>
      <c r="GB117" s="25" t="str">
        <f>IF('Midterm 1'!AF$1=$A117,'Midterm 1'!AF$47," ")</f>
        <v xml:space="preserve"> </v>
      </c>
      <c r="GC117" s="25" t="str">
        <f>IF('Midterm 1'!AF$2=$A117,'Midterm 1'!AF$47," ")</f>
        <v xml:space="preserve"> </v>
      </c>
      <c r="GE117" s="25" t="str">
        <f>IF('Midterm 2'!C$1=$A117,'Midterm 2'!C$47," ")</f>
        <v xml:space="preserve"> </v>
      </c>
      <c r="GF117" s="25" t="str">
        <f>IF('Midterm 2'!C$2=$A117,'Midterm 2'!C$47," ")</f>
        <v xml:space="preserve"> </v>
      </c>
      <c r="GG117" s="25" t="str">
        <f>IF('Midterm 2'!D$1=$A117,'Midterm 2'!D$47," ")</f>
        <v xml:space="preserve"> </v>
      </c>
      <c r="GH117" s="25" t="str">
        <f>IF('Midterm 2'!D$2=$A117,'Midterm 2'!D$47," ")</f>
        <v xml:space="preserve"> </v>
      </c>
      <c r="GI117" s="25" t="str">
        <f>IF('Midterm 2'!E$1=$A117,'Midterm 2'!E$47," ")</f>
        <v xml:space="preserve"> </v>
      </c>
      <c r="GJ117" s="25" t="str">
        <f>IF('Midterm 2'!E$2=$A117,'Midterm 2'!E$47," ")</f>
        <v xml:space="preserve"> </v>
      </c>
      <c r="GK117" s="25" t="str">
        <f>IF('Midterm 2'!F$1=$A117,'Midterm 2'!F$47," ")</f>
        <v xml:space="preserve"> </v>
      </c>
      <c r="GL117" s="25" t="str">
        <f>IF('Midterm 2'!F$2=$A117,'Midterm 2'!F$47," ")</f>
        <v xml:space="preserve"> </v>
      </c>
      <c r="GM117" s="25" t="str">
        <f>IF('Midterm 2'!G$1=$A117,'Midterm 2'!G$47," ")</f>
        <v xml:space="preserve"> </v>
      </c>
      <c r="GN117" s="25" t="str">
        <f>IF('Midterm 2'!G$2=$A117,'Midterm 2'!G$47," ")</f>
        <v xml:space="preserve"> </v>
      </c>
      <c r="GO117" s="25" t="str">
        <f>IF('Midterm 2'!H$1=$A117,'Midterm 2'!H$47," ")</f>
        <v xml:space="preserve"> </v>
      </c>
      <c r="GP117" s="25" t="str">
        <f>IF('Midterm 2'!H$2=$A117,'Midterm 2'!H$47," ")</f>
        <v xml:space="preserve"> </v>
      </c>
      <c r="GQ117" s="25" t="str">
        <f>IF('Midterm 2'!I$1=$A117,'Midterm 2'!I$47," ")</f>
        <v xml:space="preserve"> </v>
      </c>
      <c r="GR117" s="25" t="str">
        <f>IF('Midterm 2'!I$2=$A117,'Midterm 2'!I$47," ")</f>
        <v xml:space="preserve"> </v>
      </c>
      <c r="GS117" s="25" t="str">
        <f>IF('Midterm 2'!J$1=$A117,'Midterm 2'!J$47," ")</f>
        <v xml:space="preserve"> </v>
      </c>
      <c r="GT117" s="25" t="str">
        <f>IF('Midterm 2'!J$2=$A117,'Midterm 2'!J$47," ")</f>
        <v xml:space="preserve"> </v>
      </c>
      <c r="GU117" s="25" t="str">
        <f>IF('Midterm 2'!K$1=$A117,'Midterm 2'!K$47," ")</f>
        <v xml:space="preserve"> </v>
      </c>
      <c r="GV117" s="25" t="str">
        <f>IF('Midterm 2'!K$2=$A117,'Midterm 2'!K$47," ")</f>
        <v xml:space="preserve"> </v>
      </c>
      <c r="GW117" s="25" t="str">
        <f>IF('Midterm 2'!L$1=$A117,'Midterm 2'!L$47," ")</f>
        <v xml:space="preserve"> </v>
      </c>
      <c r="GX117" s="25" t="str">
        <f>IF('Midterm 2'!L$2=$A117,'Midterm 2'!L$47," ")</f>
        <v xml:space="preserve"> </v>
      </c>
      <c r="GY117" s="25" t="str">
        <f>IF('Midterm 2'!M$1=$A117,'Midterm 2'!M$47," ")</f>
        <v xml:space="preserve"> </v>
      </c>
      <c r="GZ117" s="25" t="str">
        <f>IF('Midterm 2'!M$2=$A117,'Midterm 2'!M$47," ")</f>
        <v xml:space="preserve"> </v>
      </c>
      <c r="HA117" s="25" t="str">
        <f>IF('Midterm 2'!N$1=$A117,'Midterm 2'!N$47," ")</f>
        <v xml:space="preserve"> </v>
      </c>
      <c r="HB117" s="25" t="str">
        <f>IF('Midterm 2'!N$2=$A117,'Midterm 2'!N$47," ")</f>
        <v xml:space="preserve"> </v>
      </c>
      <c r="HC117" s="25" t="str">
        <f>IF('Midterm 2'!O$1=$A117,'Midterm 2'!O$47," ")</f>
        <v xml:space="preserve"> </v>
      </c>
      <c r="HD117" s="25" t="str">
        <f>IF('Midterm 2'!O$2=$A117,'Midterm 2'!O$47," ")</f>
        <v xml:space="preserve"> </v>
      </c>
      <c r="HE117" s="25" t="str">
        <f>IF('Midterm 2'!P$1=$A117,'Midterm 2'!P$47," ")</f>
        <v xml:space="preserve"> </v>
      </c>
      <c r="HF117" s="25" t="str">
        <f>IF('Midterm 2'!P$2=$A117,'Midterm 2'!P$47," ")</f>
        <v xml:space="preserve"> </v>
      </c>
      <c r="HG117" s="25" t="str">
        <f>IF('Midterm 2'!Q$1=$A117,'Midterm 2'!Q$47," ")</f>
        <v xml:space="preserve"> </v>
      </c>
      <c r="HH117" s="25" t="str">
        <f>IF('Midterm 2'!Q$2=$A117,'Midterm 2'!Q$47," ")</f>
        <v xml:space="preserve"> </v>
      </c>
      <c r="HI117" s="25" t="str">
        <f>IF('Midterm 2'!R$1=$A117,'Midterm 2'!R$47," ")</f>
        <v xml:space="preserve"> </v>
      </c>
      <c r="HJ117" s="25" t="str">
        <f>IF('Midterm 2'!R$2=$A117,'Midterm 2'!R$47," ")</f>
        <v xml:space="preserve"> </v>
      </c>
      <c r="HK117" s="25" t="str">
        <f>IF('Midterm 2'!S$1=$A117,'Midterm 2'!S$47," ")</f>
        <v xml:space="preserve"> </v>
      </c>
      <c r="HL117" s="25" t="str">
        <f>IF('Midterm 2'!S$2=$A117,'Midterm 2'!S$47," ")</f>
        <v xml:space="preserve"> </v>
      </c>
      <c r="HM117" s="25" t="str">
        <f>IF('Midterm 2'!T$1=$A117,'Midterm 2'!T$47," ")</f>
        <v xml:space="preserve"> </v>
      </c>
      <c r="HN117" s="25" t="str">
        <f>IF('Midterm 2'!T$2=$A117,'Midterm 2'!T$47," ")</f>
        <v xml:space="preserve"> </v>
      </c>
      <c r="HO117" s="25" t="str">
        <f>IF('Midterm 2'!U$1=$A117,'Midterm 2'!U$47," ")</f>
        <v xml:space="preserve"> </v>
      </c>
      <c r="HP117" s="25" t="str">
        <f>IF('Midterm 2'!U$2=$A117,'Midterm 2'!U$47," ")</f>
        <v xml:space="preserve"> </v>
      </c>
      <c r="HQ117" s="25" t="str">
        <f>IF('Midterm 2'!V$1=$A117,'Midterm 2'!V$47," ")</f>
        <v xml:space="preserve"> </v>
      </c>
      <c r="HR117" s="25" t="str">
        <f>IF('Midterm 2'!V$2=$A117,'Midterm 2'!V$47," ")</f>
        <v xml:space="preserve"> </v>
      </c>
      <c r="HS117" s="25" t="str">
        <f>IF('Midterm 2'!W$1=$A117,'Midterm 2'!W$47," ")</f>
        <v xml:space="preserve"> </v>
      </c>
      <c r="HT117" s="25" t="str">
        <f>IF('Midterm 2'!W$2=$A117,'Midterm 2'!W$47," ")</f>
        <v xml:space="preserve"> </v>
      </c>
      <c r="HU117" s="25" t="str">
        <f>IF('Midterm 2'!X$1=$A117,'Midterm 2'!X$47," ")</f>
        <v xml:space="preserve"> </v>
      </c>
      <c r="HV117" s="25" t="str">
        <f>IF('Midterm 2'!X$2=$A117,'Midterm 2'!X$47," ")</f>
        <v xml:space="preserve"> </v>
      </c>
      <c r="HW117" s="25" t="str">
        <f>IF('Midterm 2'!Y$1=$A117,'Midterm 2'!Y$47," ")</f>
        <v xml:space="preserve"> </v>
      </c>
      <c r="HX117" s="25" t="str">
        <f>IF('Midterm 2'!Y$2=$A117,'Midterm 2'!Y$47," ")</f>
        <v xml:space="preserve"> </v>
      </c>
      <c r="HY117" s="25" t="str">
        <f>IF('Midterm 2'!Z$1=$A117,'Midterm 2'!Z$47," ")</f>
        <v xml:space="preserve"> </v>
      </c>
      <c r="HZ117" s="25" t="str">
        <f>IF('Midterm 2'!Z$2=$A117,'Midterm 2'!Z$47," ")</f>
        <v xml:space="preserve"> </v>
      </c>
      <c r="IA117" s="25" t="str">
        <f>IF('Midterm 2'!AA$1=$A117,'Midterm 2'!AA$47," ")</f>
        <v xml:space="preserve"> </v>
      </c>
      <c r="IB117" s="25" t="str">
        <f>IF('Midterm 2'!AA$2=$A117,'Midterm 2'!AA$47," ")</f>
        <v xml:space="preserve"> </v>
      </c>
      <c r="IC117" s="25" t="str">
        <f>IF('Midterm 2'!AB$1=$A117,'Midterm 2'!AB$47," ")</f>
        <v xml:space="preserve"> </v>
      </c>
      <c r="ID117" s="25" t="str">
        <f>IF('Midterm 2'!AB$2=$A117,'Midterm 2'!AB$47," ")</f>
        <v xml:space="preserve"> </v>
      </c>
      <c r="IE117" s="25" t="str">
        <f>IF('Midterm 2'!AC$1=$A117,'Midterm 2'!AC$47," ")</f>
        <v xml:space="preserve"> </v>
      </c>
      <c r="IF117" s="25" t="str">
        <f>IF('Midterm 2'!AC$2=$A117,'Midterm 2'!AC$47," ")</f>
        <v xml:space="preserve"> </v>
      </c>
      <c r="IG117" s="25" t="str">
        <f>IF('Midterm 2'!AD$1=$A117,'Midterm 2'!AD$47," ")</f>
        <v xml:space="preserve"> </v>
      </c>
      <c r="IH117" s="25" t="str">
        <f>IF('Midterm 2'!AD$2=$A117,'Midterm 2'!AD$47," ")</f>
        <v xml:space="preserve"> </v>
      </c>
      <c r="II117" s="25" t="str">
        <f>IF('Midterm 2'!AE$1=$A117,'Midterm 2'!AE$47," ")</f>
        <v xml:space="preserve"> </v>
      </c>
      <c r="IJ117" s="25" t="str">
        <f>IF('Midterm 2'!AE$2=$A117,'Midterm 2'!AE$47," ")</f>
        <v xml:space="preserve"> </v>
      </c>
      <c r="IK117" s="25" t="str">
        <f>IF('Midterm 2'!AF$1=$A117,'Midterm 2'!AF$47," ")</f>
        <v xml:space="preserve"> </v>
      </c>
      <c r="IL117" s="25" t="str">
        <f>IF('Midterm 2'!AF$2=$A117,'Midterm 2'!AF$47," ")</f>
        <v xml:space="preserve"> </v>
      </c>
      <c r="IM117" s="25" t="str">
        <f>IF('Midterm 2'!AG$1=$A117,'Midterm 2'!AG$47," ")</f>
        <v xml:space="preserve"> </v>
      </c>
      <c r="IN117" s="25" t="str">
        <f>IF('Midterm 2'!AG$2=$A117,'Midterm 2'!AG$47," ")</f>
        <v xml:space="preserve"> </v>
      </c>
      <c r="IO117" s="25" t="str">
        <f>IF('Midterm 2'!AH$1=$A117,'Midterm 2'!AH$47," ")</f>
        <v xml:space="preserve"> </v>
      </c>
      <c r="IP117" s="25" t="str">
        <f>IF('Midterm 2'!AH$2=$A117,'Midterm 2'!AF$47," ")</f>
        <v xml:space="preserve"> </v>
      </c>
      <c r="IR117" s="54" t="str">
        <f>IF('Final Exam'!C$1=$A117,'Final Exam'!C$46," ")</f>
        <v xml:space="preserve"> </v>
      </c>
      <c r="IS117" s="54" t="str">
        <f>IF('Final Exam'!C$2=$A117,'Final Exam'!C$46," ")</f>
        <v xml:space="preserve"> </v>
      </c>
      <c r="IT117" s="54" t="str">
        <f>IF('Final Exam'!D$1=$A117,'Final Exam'!D$46," ")</f>
        <v xml:space="preserve"> </v>
      </c>
      <c r="IU117" s="54" t="str">
        <f>IF('Final Exam'!D$2=$A117,'Final Exam'!D$46," ")</f>
        <v xml:space="preserve"> </v>
      </c>
      <c r="IV117" s="54" t="str">
        <f>IF('Final Exam'!E$1=$A117,'Final Exam'!E$46," ")</f>
        <v xml:space="preserve"> </v>
      </c>
      <c r="IW117" s="54" t="str">
        <f>IF('Final Exam'!E$2=$A117,'Final Exam'!E$46," ")</f>
        <v xml:space="preserve"> </v>
      </c>
      <c r="IX117" s="54" t="str">
        <f>IF('Final Exam'!F$1=$A117,'Final Exam'!F$46," ")</f>
        <v xml:space="preserve"> </v>
      </c>
      <c r="IY117" s="54" t="str">
        <f>IF('Final Exam'!F$2=$A117,'Final Exam'!F$46," ")</f>
        <v xml:space="preserve"> </v>
      </c>
      <c r="IZ117" s="54" t="str">
        <f>IF('Final Exam'!G$1=$A117,'Final Exam'!G$46," ")</f>
        <v xml:space="preserve"> </v>
      </c>
      <c r="JA117" s="54" t="str">
        <f>IF('Final Exam'!G$2=$A117,'Final Exam'!G$46," ")</f>
        <v xml:space="preserve"> </v>
      </c>
      <c r="JB117" s="54" t="str">
        <f>IF('Final Exam'!H$1=$A117,'Final Exam'!G$46," ")</f>
        <v xml:space="preserve"> </v>
      </c>
      <c r="JC117" s="54" t="str">
        <f>IF('Final Exam'!H$2=$A117,'Final Exam'!H$46," ")</f>
        <v xml:space="preserve"> </v>
      </c>
      <c r="JD117" s="54" t="str">
        <f>IF('Final Exam'!I$1=$A117,'Final Exam'!I$46," ")</f>
        <v xml:space="preserve"> </v>
      </c>
      <c r="JE117" s="54" t="str">
        <f>IF('Final Exam'!I$2=$A117,'Final Exam'!I$46," ")</f>
        <v xml:space="preserve"> </v>
      </c>
      <c r="JF117" s="54" t="str">
        <f>IF('Final Exam'!J$1=$A117,'Final Exam'!J$46," ")</f>
        <v xml:space="preserve"> </v>
      </c>
      <c r="JG117" s="54" t="str">
        <f>IF('Final Exam'!J$2=$A117,'Final Exam'!J$46," ")</f>
        <v xml:space="preserve"> </v>
      </c>
      <c r="JH117" s="54" t="str">
        <f>IF('Final Exam'!K$1=$A117,'Final Exam'!K$46," ")</f>
        <v xml:space="preserve"> </v>
      </c>
      <c r="JI117" s="54" t="str">
        <f>IF('Final Exam'!K$2=$A117,'Final Exam'!K$46," ")</f>
        <v xml:space="preserve"> </v>
      </c>
      <c r="JJ117" s="54" t="str">
        <f>IF('Final Exam'!L$1=$A117,'Final Exam'!L$46," ")</f>
        <v xml:space="preserve"> </v>
      </c>
      <c r="JK117" s="54" t="str">
        <f>IF('Final Exam'!L$2=$A117,'Final Exam'!L$46," ")</f>
        <v xml:space="preserve"> </v>
      </c>
      <c r="JL117" s="54" t="str">
        <f>IF('Final Exam'!M$1=$A117,'Final Exam'!M$46," ")</f>
        <v xml:space="preserve"> </v>
      </c>
      <c r="JM117" s="54" t="str">
        <f>IF('Final Exam'!M$2=$A117,'Final Exam'!M$46," ")</f>
        <v xml:space="preserve"> </v>
      </c>
      <c r="JN117" s="54" t="str">
        <f>IF('Final Exam'!N$1=$A117,'Final Exam'!N$46," ")</f>
        <v xml:space="preserve"> </v>
      </c>
      <c r="JO117" s="54" t="str">
        <f>IF('Final Exam'!N$2=$A117,'Final Exam'!N$46," ")</f>
        <v xml:space="preserve"> </v>
      </c>
      <c r="JP117" s="54" t="str">
        <f>IF('Final Exam'!O$1=$A117,'Final Exam'!O$46," ")</f>
        <v xml:space="preserve"> </v>
      </c>
      <c r="JQ117" s="54" t="str">
        <f>IF('Final Exam'!O$2=$A117,'Final Exam'!O$46," ")</f>
        <v xml:space="preserve"> </v>
      </c>
      <c r="JR117" s="54" t="str">
        <f>IF('Final Exam'!P$1=$A117,'Final Exam'!P$46," ")</f>
        <v xml:space="preserve"> </v>
      </c>
      <c r="JS117" s="54" t="str">
        <f>IF('Final Exam'!P$2=$A117,'Final Exam'!P$46," ")</f>
        <v xml:space="preserve"> </v>
      </c>
      <c r="JT117" s="54" t="str">
        <f>IF('Final Exam'!Q$1=$A117,'Final Exam'!Q$46," ")</f>
        <v xml:space="preserve"> </v>
      </c>
      <c r="JU117" s="54" t="str">
        <f>IF('Final Exam'!Q$2=$A117,'Final Exam'!Q$46," ")</f>
        <v xml:space="preserve"> </v>
      </c>
      <c r="JV117" s="54" t="str">
        <f>IF('Final Exam'!R$1=$A117,'Final Exam'!R$46," ")</f>
        <v xml:space="preserve"> </v>
      </c>
      <c r="JW117" s="54" t="str">
        <f>IF('Final Exam'!R$2=$A117,'Final Exam'!R$46," ")</f>
        <v xml:space="preserve"> </v>
      </c>
      <c r="JX117" s="54" t="str">
        <f>IF('Final Exam'!S$1=$A117,'Final Exam'!S$46," ")</f>
        <v xml:space="preserve"> </v>
      </c>
      <c r="JY117" s="54" t="str">
        <f>IF('Final Exam'!S$2=$A117,'Final Exam'!S$46," ")</f>
        <v xml:space="preserve"> </v>
      </c>
      <c r="JZ117" s="54" t="str">
        <f>IF('Final Exam'!T$1=$A117,'Final Exam'!T$46," ")</f>
        <v xml:space="preserve"> </v>
      </c>
      <c r="KA117" s="54" t="str">
        <f>IF('Final Exam'!T$2=$A117,'Final Exam'!T$46," ")</f>
        <v xml:space="preserve"> </v>
      </c>
      <c r="KB117" s="54" t="str">
        <f>IF('Final Exam'!U$1=$A117,'Final Exam'!U$46," ")</f>
        <v xml:space="preserve"> </v>
      </c>
      <c r="KC117" s="54" t="str">
        <f>IF('Final Exam'!U$2=$A117,'Final Exam'!U$46," ")</f>
        <v xml:space="preserve"> </v>
      </c>
      <c r="KD117" s="54" t="str">
        <f>IF('Final Exam'!V$1=$A117,'Final Exam'!V$46," ")</f>
        <v xml:space="preserve"> </v>
      </c>
      <c r="KE117" s="54" t="str">
        <f>IF('Final Exam'!V$2=$A117,'Final Exam'!V$46," ")</f>
        <v xml:space="preserve"> </v>
      </c>
      <c r="KF117" s="54" t="str">
        <f>IF('Final Exam'!W$1=$A117,'Final Exam'!W$46," ")</f>
        <v xml:space="preserve"> </v>
      </c>
      <c r="KG117" s="54" t="str">
        <f>IF('Final Exam'!W$2=$A117,'Final Exam'!W$46," ")</f>
        <v xml:space="preserve"> </v>
      </c>
      <c r="KH117" s="54" t="str">
        <f>IF('Final Exam'!X$1=$A117,'Final Exam'!X$46," ")</f>
        <v xml:space="preserve"> </v>
      </c>
      <c r="KI117" s="54" t="str">
        <f>IF('Final Exam'!X$2=$A117,'Final Exam'!X$46," ")</f>
        <v xml:space="preserve"> </v>
      </c>
      <c r="KJ117" s="54" t="str">
        <f>IF('Final Exam'!Y$1=$A117,'Final Exam'!Y$46," ")</f>
        <v xml:space="preserve"> </v>
      </c>
      <c r="KK117" s="54" t="str">
        <f>IF('Final Exam'!Y$2=$A117,'Final Exam'!Y$46," ")</f>
        <v xml:space="preserve"> </v>
      </c>
      <c r="KL117" s="54" t="str">
        <f>IF('Final Exam'!Z$1=$A117,'Final Exam'!Z$46," ")</f>
        <v xml:space="preserve"> </v>
      </c>
      <c r="KM117" s="54" t="str">
        <f>IF('Final Exam'!Z$2=$A117,'Final Exam'!Z$46," ")</f>
        <v xml:space="preserve"> </v>
      </c>
      <c r="KN117" s="54" t="str">
        <f>IF('Final Exam'!AA$1=$A117,'Final Exam'!AA$46," ")</f>
        <v xml:space="preserve"> </v>
      </c>
      <c r="KO117" s="54" t="str">
        <f>IF('Final Exam'!AA$2=$A117,'Final Exam'!AA$46," ")</f>
        <v xml:space="preserve"> </v>
      </c>
      <c r="KP117" s="54" t="str">
        <f>IF('Final Exam'!AB$1=$A117,'Final Exam'!AB$46," ")</f>
        <v xml:space="preserve"> </v>
      </c>
      <c r="KQ117" s="54" t="str">
        <f>IF('Final Exam'!AB$2=$A117,'Final Exam'!AB$46," ")</f>
        <v xml:space="preserve"> </v>
      </c>
      <c r="KR117" s="54" t="str">
        <f>IF('Final Exam'!AC$1=$A117,'Final Exam'!AC$46," ")</f>
        <v xml:space="preserve"> </v>
      </c>
      <c r="KS117" s="54" t="str">
        <f>IF('Final Exam'!AC$2=$A117,'Final Exam'!AC$46," ")</f>
        <v xml:space="preserve"> </v>
      </c>
      <c r="KT117" s="54" t="str">
        <f>IF('Final Exam'!AD$1=$A117,'Final Exam'!AD$46," ")</f>
        <v xml:space="preserve"> </v>
      </c>
      <c r="KU117" s="54" t="str">
        <f>IF('Final Exam'!AD$2=$A117,'Final Exam'!AD$46," ")</f>
        <v xml:space="preserve"> </v>
      </c>
      <c r="KV117" s="54" t="str">
        <f>IF('Final Exam'!AE$1=$A117,'Final Exam'!AE$46," ")</f>
        <v xml:space="preserve"> </v>
      </c>
      <c r="KW117" s="54" t="str">
        <f>IF('Final Exam'!AE$2=$A117,'Final Exam'!AE$46," ")</f>
        <v xml:space="preserve"> </v>
      </c>
      <c r="KX117" s="54" t="str">
        <f>IF('Final Exam'!AF$1=$A117,'Final Exam'!AF$46," ")</f>
        <v xml:space="preserve"> </v>
      </c>
      <c r="KY117" s="54" t="str">
        <f>IF('Final Exam'!AF$2=$A117,'Final Exam'!AF$46," ")</f>
        <v xml:space="preserve"> </v>
      </c>
      <c r="KZ117" s="54" t="str">
        <f>IF('Final Exam'!AG$1=$A117,'Final Exam'!AG$46," ")</f>
        <v xml:space="preserve"> </v>
      </c>
      <c r="LA117" s="54" t="str">
        <f>IF('Final Exam'!AG$2=$A117,'Final Exam'!AG$46," ")</f>
        <v xml:space="preserve"> </v>
      </c>
      <c r="LC117" s="180" t="str">
        <f>IF('Incomplete Final'!C$1=$A117,'Incomplete Final'!C$46," ")</f>
        <v xml:space="preserve"> </v>
      </c>
      <c r="LD117" s="180" t="str">
        <f>IF('Incomplete Final'!C$2=$A117,'Incomplete Final'!C$46," ")</f>
        <v xml:space="preserve"> </v>
      </c>
      <c r="LE117" s="180" t="str">
        <f>IF('Incomplete Final'!D$1=$A117,'Incomplete Final'!D$46," ")</f>
        <v xml:space="preserve"> </v>
      </c>
      <c r="LF117" s="180" t="str">
        <f>IF('Incomplete Final'!D$2=$A117,'Incomplete Final'!D$46," ")</f>
        <v xml:space="preserve"> </v>
      </c>
      <c r="LG117" s="180" t="str">
        <f>IF('Incomplete Final'!E$1=$A117,'Incomplete Final'!E$46," ")</f>
        <v xml:space="preserve"> </v>
      </c>
      <c r="LH117" s="180" t="str">
        <f>IF('Incomplete Final'!E$2=$A117,'Incomplete Final'!E$46," ")</f>
        <v xml:space="preserve"> </v>
      </c>
      <c r="LI117" s="180" t="str">
        <f>IF('Incomplete Final'!F$1=$A117,'Incomplete Final'!F$46," ")</f>
        <v xml:space="preserve"> </v>
      </c>
      <c r="LJ117" s="180" t="str">
        <f>IF('Incomplete Final'!F$2=$A117,'Incomplete Final'!F$46," ")</f>
        <v xml:space="preserve"> </v>
      </c>
      <c r="LK117" s="180" t="str">
        <f>IF('Incomplete Final'!G$1=$A117,'Incomplete Final'!G$46," ")</f>
        <v xml:space="preserve"> </v>
      </c>
      <c r="LL117" s="180" t="str">
        <f>IF('Incomplete Final'!G$2=$A117,'Incomplete Final'!G$46," ")</f>
        <v xml:space="preserve"> </v>
      </c>
      <c r="LM117" s="180" t="str">
        <f>IF('Incomplete Final'!H$1=$A117,'Incomplete Final'!H$46," ")</f>
        <v xml:space="preserve"> </v>
      </c>
      <c r="LN117" s="180" t="str">
        <f>IF('Incomplete Final'!H$2=$A117,'Incomplete Final'!H$46," ")</f>
        <v xml:space="preserve"> </v>
      </c>
      <c r="LO117" s="180" t="str">
        <f>IF('Incomplete Final'!I$1=$A117,'Incomplete Final'!I$46," ")</f>
        <v xml:space="preserve"> </v>
      </c>
      <c r="LP117" s="180" t="str">
        <f>IF('Incomplete Final'!I$2=$A117,'Incomplete Final'!I$46," ")</f>
        <v xml:space="preserve"> </v>
      </c>
      <c r="LQ117" s="180" t="str">
        <f>IF('Incomplete Final'!J$1=$A117,'Incomplete Final'!J$46," ")</f>
        <v xml:space="preserve"> </v>
      </c>
      <c r="LR117" s="180" t="str">
        <f>IF('Incomplete Final'!J$2=$A117,'Incomplete Final'!J$46," ")</f>
        <v xml:space="preserve"> </v>
      </c>
      <c r="LS117" s="180" t="str">
        <f>IF('Incomplete Final'!K$1=$A117,'Incomplete Final'!K$46," ")</f>
        <v xml:space="preserve"> </v>
      </c>
      <c r="LT117" s="180" t="str">
        <f>IF('Incomplete Final'!K$2=$A117,'Incomplete Final'!K$46," ")</f>
        <v xml:space="preserve"> </v>
      </c>
      <c r="LU117" s="180" t="str">
        <f>IF('Incomplete Final'!L$1=$A117,'Incomplete Final'!L$46," ")</f>
        <v xml:space="preserve"> </v>
      </c>
      <c r="LV117" s="180" t="str">
        <f>IF('Incomplete Final'!L$2=$A117,'Incomplete Final'!L$46," ")</f>
        <v xml:space="preserve"> </v>
      </c>
      <c r="LW117" s="180" t="str">
        <f>IF('Incomplete Final'!M$1=$A117,'Incomplete Final'!M$46," ")</f>
        <v xml:space="preserve"> </v>
      </c>
      <c r="LX117" s="180" t="str">
        <f>IF('Incomplete Final'!M$2=$A117,'Incomplete Final'!M$46," ")</f>
        <v xml:space="preserve"> </v>
      </c>
      <c r="LY117" s="180" t="str">
        <f>IF('Incomplete Final'!N$1=$A117,'Incomplete Final'!N$46," ")</f>
        <v xml:space="preserve"> </v>
      </c>
      <c r="LZ117" s="180" t="str">
        <f>IF('Incomplete Final'!N$2=$A117,'Incomplete Final'!N$46," ")</f>
        <v xml:space="preserve"> </v>
      </c>
      <c r="MA117" s="180" t="str">
        <f>IF('Incomplete Final'!O$1=$A117,'Incomplete Final'!O$46," ")</f>
        <v xml:space="preserve"> </v>
      </c>
      <c r="MB117" s="180" t="str">
        <f>IF('Incomplete Final'!O$2=$A117,'Incomplete Final'!AB$46," ")</f>
        <v xml:space="preserve"> </v>
      </c>
      <c r="MC117" s="180" t="str">
        <f>IF('Incomplete Final'!P$1=$A117,'Incomplete Final'!P$46," ")</f>
        <v xml:space="preserve"> </v>
      </c>
      <c r="MD117" s="180" t="str">
        <f>IF('Incomplete Final'!P$2=$A117,'Incomplete Final'!P$46," ")</f>
        <v xml:space="preserve"> </v>
      </c>
      <c r="ME117" s="180" t="str">
        <f>IF('Incomplete Final'!Q$1=$A117,'Incomplete Final'!Q$46," ")</f>
        <v xml:space="preserve"> </v>
      </c>
      <c r="MF117" s="180" t="str">
        <f>IF('Incomplete Final'!Q$2=$A117,'Incomplete Final'!Q$46," ")</f>
        <v xml:space="preserve"> </v>
      </c>
      <c r="MG117" s="180" t="str">
        <f>IF('Incomplete Final'!R$1=$A117,'Incomplete Final'!R$46," ")</f>
        <v xml:space="preserve"> </v>
      </c>
      <c r="MH117" s="180" t="str">
        <f>IF('Incomplete Final'!R$2=$A117,'Incomplete Final'!R$46," ")</f>
        <v xml:space="preserve"> </v>
      </c>
      <c r="MI117" s="180" t="str">
        <f>IF('Incomplete Final'!S$1=$A117,'Incomplete Final'!S$46," ")</f>
        <v xml:space="preserve"> </v>
      </c>
      <c r="MJ117" s="180" t="str">
        <f>IF('Incomplete Final'!S$2=$A117,'Incomplete Final'!S$46," ")</f>
        <v xml:space="preserve"> </v>
      </c>
      <c r="MK117" s="180" t="str">
        <f>IF('Incomplete Final'!T$1=$A117,'Incomplete Final'!T$46," ")</f>
        <v xml:space="preserve"> </v>
      </c>
      <c r="ML117" s="180" t="str">
        <f>IF('Incomplete Final'!T$2=$A117,'Incomplete Final'!T$46," ")</f>
        <v xml:space="preserve"> </v>
      </c>
      <c r="MM117" s="180" t="str">
        <f>IF('Incomplete Final'!U$1=$A117,'Incomplete Final'!U$46," ")</f>
        <v xml:space="preserve"> </v>
      </c>
      <c r="MN117" s="180" t="str">
        <f>IF('Incomplete Final'!U$2=$A117,'Incomplete Final'!U$46," ")</f>
        <v xml:space="preserve"> </v>
      </c>
      <c r="MO117" s="180" t="str">
        <f>IF('Incomplete Final'!V$1=$A117,'Incomplete Final'!V$46," ")</f>
        <v xml:space="preserve"> </v>
      </c>
      <c r="MP117" s="180" t="str">
        <f>IF('Incomplete Final'!V$2=$A117,'Incomplete Final'!V$46," ")</f>
        <v xml:space="preserve"> </v>
      </c>
      <c r="MQ117" s="180" t="str">
        <f>IF('Incomplete Final'!W$1=$A117,'Incomplete Final'!W$46," ")</f>
        <v xml:space="preserve"> </v>
      </c>
      <c r="MR117" s="180" t="str">
        <f>IF('Incomplete Final'!W$2=$A117,'Incomplete Final'!W$46," ")</f>
        <v xml:space="preserve"> </v>
      </c>
      <c r="MS117" s="180" t="str">
        <f>IF('Incomplete Final'!X$1=$A117,'Incomplete Final'!X$46," ")</f>
        <v xml:space="preserve"> </v>
      </c>
      <c r="MT117" s="180" t="str">
        <f>IF('Incomplete Final'!X$2=$A117,'Incomplete Final'!X$46," ")</f>
        <v xml:space="preserve"> </v>
      </c>
      <c r="MU117" s="180" t="str">
        <f>IF('Incomplete Final'!Y$1=$A117,'Incomplete Final'!Y$46," ")</f>
        <v xml:space="preserve"> </v>
      </c>
      <c r="MV117" s="180" t="str">
        <f>IF('Incomplete Final'!Y$2=$A117,'Incomplete Final'!Y$46," ")</f>
        <v xml:space="preserve"> </v>
      </c>
      <c r="MW117" s="180" t="str">
        <f>IF('Incomplete Final'!Z$1=$A117,'Incomplete Final'!Z$46," ")</f>
        <v xml:space="preserve"> </v>
      </c>
      <c r="MX117" s="180" t="str">
        <f>IF('Incomplete Final'!Z$2=$A117,'Incomplete Final'!Z$46," ")</f>
        <v xml:space="preserve"> </v>
      </c>
      <c r="MY117" s="180" t="str">
        <f>IF('Incomplete Final'!AA$1=$A117,'Incomplete Final'!AA$46," ")</f>
        <v xml:space="preserve"> </v>
      </c>
      <c r="MZ117" s="180" t="str">
        <f>IF('Incomplete Final'!AA$2=$A117,'Incomplete Final'!AA$46," ")</f>
        <v xml:space="preserve"> </v>
      </c>
      <c r="NA117" s="180" t="str">
        <f>IF('Incomplete Final'!AB$1=$A117,'Incomplete Final'!AB$46," ")</f>
        <v xml:space="preserve"> </v>
      </c>
      <c r="NB117" s="180" t="str">
        <f>IF('Incomplete Final'!AB$2=$A117,'Incomplete Final'!AB$46," ")</f>
        <v xml:space="preserve"> </v>
      </c>
      <c r="NC117" s="180" t="str">
        <f>IF('Incomplete Final'!AC$1=$A117,'Incomplete Final'!AC$46," ")</f>
        <v xml:space="preserve"> </v>
      </c>
      <c r="ND117" s="180" t="str">
        <f>IF('Incomplete Final'!AC$2=$A117,'Incomplete Final'!AC$46," ")</f>
        <v xml:space="preserve"> </v>
      </c>
      <c r="NE117" s="180" t="str">
        <f>IF('Incomplete Final'!AD$1=$A117,'Incomplete Final'!AD$46," ")</f>
        <v xml:space="preserve"> </v>
      </c>
      <c r="NF117" s="180" t="str">
        <f>IF('Incomplete Final'!AD$2=$A117,'Incomplete Final'!AD$46," ")</f>
        <v xml:space="preserve"> </v>
      </c>
      <c r="NG117" s="180" t="str">
        <f>IF('Incomplete Final'!AE$1=$A117,'Incomplete Final'!AE$46," ")</f>
        <v xml:space="preserve"> </v>
      </c>
      <c r="NH117" s="180" t="str">
        <f>IF('Incomplete Final'!AE$2=$A117,'Incomplete Final'!AE$46," ")</f>
        <v xml:space="preserve"> </v>
      </c>
      <c r="NI117" s="180" t="str">
        <f>IF('Incomplete Final'!AF$1=$A117,'Incomplete Final'!AF$46," ")</f>
        <v xml:space="preserve"> </v>
      </c>
      <c r="NJ117" s="180" t="str">
        <f>IF('Incomplete Final'!AF$2=$A117,'Incomplete Final'!AF$46," ")</f>
        <v xml:space="preserve"> </v>
      </c>
      <c r="NK117" s="180" t="str">
        <f>IF('Incomplete Final'!AG$1=$A117,'Incomplete Final'!AG$46," ")</f>
        <v xml:space="preserve"> </v>
      </c>
      <c r="NL117" s="180" t="str">
        <f>IF('Incomplete Final'!AG$2=$A117,'Incomplete Final'!AG$46," ")</f>
        <v xml:space="preserve"> </v>
      </c>
      <c r="NN117" s="53" t="str">
        <f>IF('Laboratory Final'!C$1=$A117,'Laboratory Final'!C$46," ")</f>
        <v xml:space="preserve"> </v>
      </c>
      <c r="NO117" s="53" t="str">
        <f>IF('Laboratory Final'!C$2=$A117,'Laboratory Final'!C$46," ")</f>
        <v xml:space="preserve"> </v>
      </c>
      <c r="NP117" s="53" t="str">
        <f>IF('Laboratory Final'!D$1=$A117,'Laboratory Final'!D$46," ")</f>
        <v xml:space="preserve"> </v>
      </c>
      <c r="NQ117" s="53" t="str">
        <f>IF('Laboratory Final'!D$2=$A117,'Laboratory Final'!D$46," ")</f>
        <v xml:space="preserve"> </v>
      </c>
      <c r="NR117" s="53" t="str">
        <f>IF('Laboratory Final'!E$1=$A117,'Laboratory Final'!E$46," ")</f>
        <v xml:space="preserve"> </v>
      </c>
      <c r="NS117" s="53" t="str">
        <f>IF('Laboratory Final'!E$2=$A117,'Laboratory Final'!E$46," ")</f>
        <v xml:space="preserve"> </v>
      </c>
      <c r="NT117" s="53" t="str">
        <f>IF('Laboratory Final'!F$1=$A117,'Laboratory Final'!F$46," ")</f>
        <v xml:space="preserve"> </v>
      </c>
      <c r="NU117" s="53" t="str">
        <f>IF('Laboratory Final'!F$2=$A117,'Laboratory Final'!F$46," ")</f>
        <v xml:space="preserve"> </v>
      </c>
      <c r="NV117" s="53" t="str">
        <f>IF('Laboratory Final'!G$1=$A117,'Laboratory Final'!G$46," ")</f>
        <v xml:space="preserve"> </v>
      </c>
      <c r="NW117" s="53" t="str">
        <f>IF('Laboratory Final'!G$2=$A117,'Laboratory Final'!G$46," ")</f>
        <v xml:space="preserve"> </v>
      </c>
      <c r="NX117" s="53" t="str">
        <f>IF('Laboratory Final'!H$1=$A117,'Laboratory Final'!H$46," ")</f>
        <v xml:space="preserve"> </v>
      </c>
      <c r="NY117" s="53" t="str">
        <f>IF('Laboratory Final'!H$2=$A117,'Laboratory Final'!H$46," ")</f>
        <v xml:space="preserve"> </v>
      </c>
      <c r="NZ117" s="53" t="str">
        <f>IF('Laboratory Final'!I$1=$A117,'Laboratory Final'!I$46," ")</f>
        <v xml:space="preserve"> </v>
      </c>
      <c r="OA117" s="53" t="str">
        <f>IF('Laboratory Final'!I$2=$A117,'Laboratory Final'!I$46," ")</f>
        <v xml:space="preserve"> </v>
      </c>
      <c r="OB117" s="53" t="str">
        <f>IF('Laboratory Final'!J$1=$A117,'Laboratory Final'!J$46," ")</f>
        <v xml:space="preserve"> </v>
      </c>
      <c r="OC117" s="53" t="str">
        <f>IF('Laboratory Final'!J$2=$A117,'Laboratory Final'!J$46," ")</f>
        <v xml:space="preserve"> </v>
      </c>
      <c r="OD117" s="53" t="str">
        <f>IF('Laboratory Final'!K$1=$A117,'Laboratory Final'!K$46," ")</f>
        <v xml:space="preserve"> </v>
      </c>
      <c r="OE117" s="53" t="str">
        <f>IF('Laboratory Final'!K$2=$A117,'Laboratory Final'!K$46," ")</f>
        <v xml:space="preserve"> </v>
      </c>
      <c r="OF117" s="53" t="str">
        <f>IF('Laboratory Final'!L$1=$A117,'Laboratory Final'!L$46," ")</f>
        <v xml:space="preserve"> </v>
      </c>
      <c r="OG117" s="53" t="str">
        <f>IF('Laboratory Final'!L$2=$A117,'Laboratory Final'!L$46," ")</f>
        <v xml:space="preserve"> </v>
      </c>
      <c r="OI117" s="192" t="e">
        <f t="shared" si="14"/>
        <v>#DIV/0!</v>
      </c>
    </row>
    <row r="118" spans="1:399" ht="18.75" x14ac:dyDescent="0.3">
      <c r="A118" s="51">
        <v>1</v>
      </c>
      <c r="W118" t="str">
        <f>IF(Quizzes!D$2=$A118,Quizzes!D$46," ")</f>
        <v xml:space="preserve"> </v>
      </c>
    </row>
    <row r="119" spans="1:399" ht="18.75" x14ac:dyDescent="0.3">
      <c r="A119" s="51">
        <v>2</v>
      </c>
    </row>
    <row r="120" spans="1:399" ht="18.75" x14ac:dyDescent="0.3">
      <c r="A120" s="51">
        <v>3</v>
      </c>
    </row>
    <row r="121" spans="1:399" ht="18.75" x14ac:dyDescent="0.3">
      <c r="A121" s="51">
        <v>4</v>
      </c>
    </row>
    <row r="122" spans="1:399" ht="18.75" x14ac:dyDescent="0.3">
      <c r="A122" s="51">
        <v>5</v>
      </c>
    </row>
    <row r="123" spans="1:399" ht="18.75" x14ac:dyDescent="0.3">
      <c r="A123" s="51">
        <v>6</v>
      </c>
    </row>
    <row r="124" spans="1:399" ht="18.75" x14ac:dyDescent="0.3">
      <c r="A124" s="51">
        <v>7</v>
      </c>
    </row>
    <row r="125" spans="1:399" ht="18.75" x14ac:dyDescent="0.3">
      <c r="A125" s="51">
        <v>8</v>
      </c>
    </row>
    <row r="126" spans="1:399" ht="18.75" x14ac:dyDescent="0.3">
      <c r="A126" s="51">
        <v>9</v>
      </c>
    </row>
    <row r="127" spans="1:399" ht="18.75" x14ac:dyDescent="0.3">
      <c r="A127" s="51">
        <v>10</v>
      </c>
    </row>
    <row r="128" spans="1:399" ht="18.75" x14ac:dyDescent="0.3">
      <c r="A128" s="51">
        <v>11</v>
      </c>
    </row>
    <row r="129" spans="1:1" ht="18.75" x14ac:dyDescent="0.3">
      <c r="A129" s="51">
        <v>12</v>
      </c>
    </row>
  </sheetData>
  <mergeCells count="40">
    <mergeCell ref="L104:Q104"/>
    <mergeCell ref="B41:C41"/>
    <mergeCell ref="D41:E41"/>
    <mergeCell ref="F41:G41"/>
    <mergeCell ref="H41:I41"/>
    <mergeCell ref="J41:K41"/>
    <mergeCell ref="L41:M41"/>
    <mergeCell ref="N41:O41"/>
    <mergeCell ref="P41:Q41"/>
    <mergeCell ref="N48:O48"/>
    <mergeCell ref="P48:Q48"/>
    <mergeCell ref="R27:S27"/>
    <mergeCell ref="T27:U27"/>
    <mergeCell ref="H27:I27"/>
    <mergeCell ref="J27:K27"/>
    <mergeCell ref="B48:C48"/>
    <mergeCell ref="D48:E48"/>
    <mergeCell ref="F48:G48"/>
    <mergeCell ref="H48:I48"/>
    <mergeCell ref="J48:K48"/>
    <mergeCell ref="L27:M27"/>
    <mergeCell ref="B27:C27"/>
    <mergeCell ref="D27:E27"/>
    <mergeCell ref="F27:G27"/>
    <mergeCell ref="A1:AC5"/>
    <mergeCell ref="R48:S48"/>
    <mergeCell ref="T48:U48"/>
    <mergeCell ref="L48:M48"/>
    <mergeCell ref="V48:W48"/>
    <mergeCell ref="X48:Y48"/>
    <mergeCell ref="V27:W27"/>
    <mergeCell ref="X27:Y27"/>
    <mergeCell ref="V41:W41"/>
    <mergeCell ref="X41:Y41"/>
    <mergeCell ref="B26:U26"/>
    <mergeCell ref="B47:U47"/>
    <mergeCell ref="R41:S41"/>
    <mergeCell ref="T41:U41"/>
    <mergeCell ref="N27:O27"/>
    <mergeCell ref="P27:Q27"/>
  </mergeCells>
  <pageMargins left="0.25" right="0.25" top="0.75" bottom="0.75" header="0.3" footer="0.3"/>
  <pageSetup paperSize="9" scale="4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FFFF00"/>
    <pageSetUpPr fitToPage="1"/>
  </sheetPr>
  <dimension ref="A1:L62"/>
  <sheetViews>
    <sheetView zoomScale="50" zoomScaleNormal="50" workbookViewId="0">
      <selection activeCell="E10" sqref="E10"/>
    </sheetView>
  </sheetViews>
  <sheetFormatPr defaultColWidth="9.140625" defaultRowHeight="15" x14ac:dyDescent="0.25"/>
  <cols>
    <col min="1" max="1" width="32.42578125" style="97" customWidth="1"/>
    <col min="2" max="2" width="49.5703125" style="97" customWidth="1"/>
    <col min="3" max="3" width="27.140625" style="97" customWidth="1"/>
    <col min="4" max="4" width="27.85546875" style="97" customWidth="1"/>
    <col min="5" max="5" width="41.5703125" style="97" customWidth="1"/>
    <col min="6" max="6" width="42.7109375" style="97" customWidth="1"/>
    <col min="7" max="8" width="9.140625" style="97"/>
    <col min="9" max="9" width="41.5703125" style="97" customWidth="1"/>
    <col min="10" max="10" width="42.7109375" style="97" customWidth="1"/>
    <col min="11" max="16384" width="9.140625" style="97"/>
  </cols>
  <sheetData>
    <row r="1" spans="1:12" x14ac:dyDescent="0.25">
      <c r="A1" s="144"/>
      <c r="B1" s="145"/>
      <c r="C1" s="145"/>
      <c r="D1" s="145"/>
      <c r="E1" s="145"/>
      <c r="F1" s="145"/>
      <c r="G1" s="145"/>
      <c r="H1" s="145"/>
      <c r="I1" s="145"/>
      <c r="J1" s="145"/>
      <c r="K1" s="146"/>
    </row>
    <row r="2" spans="1:12" ht="18" x14ac:dyDescent="0.25">
      <c r="A2" s="147" t="s">
        <v>33</v>
      </c>
      <c r="B2" s="148">
        <f>'Course Information'!C1</f>
        <v>0</v>
      </c>
      <c r="C2" s="149"/>
      <c r="D2" s="149"/>
      <c r="E2" s="150"/>
      <c r="F2" s="149"/>
      <c r="G2" s="151"/>
      <c r="H2" s="152"/>
      <c r="I2" s="152"/>
      <c r="J2" s="153"/>
      <c r="K2" s="154"/>
    </row>
    <row r="3" spans="1:12" ht="18" x14ac:dyDescent="0.25">
      <c r="A3" s="147" t="s">
        <v>188</v>
      </c>
      <c r="B3" s="148">
        <f>'Course Information'!C2</f>
        <v>0</v>
      </c>
      <c r="C3" s="155"/>
      <c r="D3" s="155"/>
      <c r="E3" s="156"/>
      <c r="F3" s="157"/>
      <c r="G3" s="158"/>
      <c r="H3" s="157"/>
      <c r="I3" s="155"/>
      <c r="J3" s="159"/>
      <c r="K3" s="160"/>
    </row>
    <row r="4" spans="1:12" ht="18" x14ac:dyDescent="0.25">
      <c r="A4" s="147" t="s">
        <v>189</v>
      </c>
      <c r="B4" s="148">
        <f>'Course Information'!C3</f>
        <v>0</v>
      </c>
      <c r="C4" s="161"/>
      <c r="D4" s="155"/>
      <c r="E4" s="156"/>
      <c r="F4" s="157"/>
      <c r="G4" s="161"/>
      <c r="H4" s="161"/>
      <c r="I4" s="161"/>
      <c r="J4" s="162"/>
      <c r="K4" s="163"/>
    </row>
    <row r="5" spans="1:12" ht="18" x14ac:dyDescent="0.25">
      <c r="A5" s="147" t="s">
        <v>296</v>
      </c>
      <c r="B5" s="148">
        <f>'Course Information'!C4</f>
        <v>0</v>
      </c>
      <c r="C5" s="161"/>
      <c r="D5" s="155"/>
      <c r="E5" s="156"/>
      <c r="F5" s="157"/>
      <c r="G5" s="161"/>
      <c r="H5" s="157"/>
      <c r="I5" s="155"/>
      <c r="J5" s="164"/>
      <c r="K5" s="165"/>
    </row>
    <row r="6" spans="1:12" ht="18" x14ac:dyDescent="0.25">
      <c r="A6" s="147" t="s">
        <v>190</v>
      </c>
      <c r="B6" s="148">
        <f>'Course Information'!C5</f>
        <v>0</v>
      </c>
      <c r="C6" s="166"/>
      <c r="D6" s="167"/>
      <c r="E6" s="168"/>
      <c r="F6" s="168"/>
      <c r="G6" s="168"/>
      <c r="H6" s="168"/>
      <c r="I6" s="168"/>
      <c r="J6" s="169"/>
      <c r="K6" s="170"/>
    </row>
    <row r="7" spans="1:12" ht="15.75" x14ac:dyDescent="0.25">
      <c r="A7" s="171" t="s">
        <v>46</v>
      </c>
      <c r="B7" s="148">
        <f>'Course Information'!C6</f>
        <v>0</v>
      </c>
      <c r="C7" s="145"/>
      <c r="D7" s="145"/>
      <c r="E7" s="145"/>
      <c r="F7" s="145"/>
      <c r="G7" s="145"/>
      <c r="H7" s="145"/>
      <c r="I7" s="145"/>
      <c r="J7" s="145"/>
      <c r="K7" s="172"/>
    </row>
    <row r="8" spans="1:12" x14ac:dyDescent="0.25">
      <c r="A8"/>
      <c r="B8"/>
      <c r="C8"/>
      <c r="D8"/>
      <c r="E8"/>
      <c r="F8"/>
      <c r="G8"/>
      <c r="H8"/>
      <c r="I8"/>
      <c r="J8"/>
      <c r="K8"/>
      <c r="L8"/>
    </row>
    <row r="9" spans="1:12" ht="15.75" x14ac:dyDescent="0.25">
      <c r="A9" s="173" t="s">
        <v>34</v>
      </c>
      <c r="B9" s="174" t="s">
        <v>35</v>
      </c>
      <c r="C9" s="640" t="s">
        <v>327</v>
      </c>
      <c r="D9" s="632"/>
      <c r="E9" s="175" t="s">
        <v>36</v>
      </c>
      <c r="F9" s="175" t="s">
        <v>328</v>
      </c>
      <c r="G9"/>
      <c r="H9"/>
      <c r="I9" s="175" t="s">
        <v>36</v>
      </c>
      <c r="J9" s="175" t="s">
        <v>328</v>
      </c>
      <c r="K9"/>
      <c r="L9"/>
    </row>
    <row r="10" spans="1:12" ht="15" customHeight="1" x14ac:dyDescent="0.35">
      <c r="A10" s="176">
        <f>'Course Information'!A10</f>
        <v>1</v>
      </c>
      <c r="B10" s="177">
        <f>'Course Information'!B10</f>
        <v>0</v>
      </c>
      <c r="C10" s="178">
        <f>'Course Information'!C10</f>
        <v>0</v>
      </c>
      <c r="D10" s="178">
        <f>'Course Information'!D10</f>
        <v>0</v>
      </c>
      <c r="E10" s="5" t="str">
        <f>'Students Survey'!C45</f>
        <v xml:space="preserve"> </v>
      </c>
      <c r="F10" s="5" t="e">
        <f>IF((CEILING('Course Analysis'!OI106/2,0.1))=0," ",CEILING('Course Analysis'!OI106/2,0.1))</f>
        <v>#DIV/0!</v>
      </c>
      <c r="G10" s="179"/>
      <c r="H10"/>
      <c r="I10" s="5" t="str">
        <f>'Students Survey'!C45</f>
        <v xml:space="preserve"> </v>
      </c>
      <c r="J10" s="5" t="e">
        <f>IF((CEILING('Course Analysis'!OI106/2,0.1))=0," ",CEILING('Course Analysis'!OI106/2,0.1))</f>
        <v>#DIV/0!</v>
      </c>
      <c r="K10"/>
      <c r="L10"/>
    </row>
    <row r="11" spans="1:12" x14ac:dyDescent="0.25">
      <c r="A11" s="176">
        <f>'Course Information'!A11</f>
        <v>2</v>
      </c>
      <c r="B11" s="177">
        <f>'Course Information'!B11</f>
        <v>0</v>
      </c>
      <c r="C11" s="178">
        <f>'Course Information'!C11</f>
        <v>0</v>
      </c>
      <c r="D11" s="178">
        <f>'Course Information'!D11</f>
        <v>0</v>
      </c>
      <c r="E11" s="5" t="str">
        <f>'Students Survey'!D45</f>
        <v xml:space="preserve"> </v>
      </c>
      <c r="F11" s="5" t="e">
        <f>IF((CEILING('Course Analysis'!OI107/2,0.1))=0," ",CEILING('Course Analysis'!OI107/2,0.1))</f>
        <v>#DIV/0!</v>
      </c>
      <c r="G11"/>
      <c r="H11"/>
      <c r="I11" s="5" t="str">
        <f>'Students Survey'!D45</f>
        <v xml:space="preserve"> </v>
      </c>
      <c r="J11" s="5" t="e">
        <f>IF((CEILING('Course Analysis'!OI107/2,0.1))=0," ",CEILING('Course Analysis'!OI107/2,0.1))</f>
        <v>#DIV/0!</v>
      </c>
      <c r="K11"/>
      <c r="L11"/>
    </row>
    <row r="12" spans="1:12" x14ac:dyDescent="0.25">
      <c r="A12" s="176">
        <f>'Course Information'!A12</f>
        <v>3</v>
      </c>
      <c r="B12" s="177">
        <f>'Course Information'!B12</f>
        <v>0</v>
      </c>
      <c r="C12" s="178">
        <f>'Course Information'!C12</f>
        <v>0</v>
      </c>
      <c r="D12" s="178">
        <f>'Course Information'!D12</f>
        <v>0</v>
      </c>
      <c r="E12" s="5" t="str">
        <f>'Students Survey'!E45</f>
        <v xml:space="preserve"> </v>
      </c>
      <c r="F12" s="5" t="e">
        <f>IF((CEILING('Course Analysis'!OI108/2,0.1))=0," ",CEILING('Course Analysis'!OI108/2,0.1))</f>
        <v>#DIV/0!</v>
      </c>
      <c r="G12"/>
      <c r="H12"/>
      <c r="I12" s="5" t="str">
        <f>'Students Survey'!E45</f>
        <v xml:space="preserve"> </v>
      </c>
      <c r="J12" s="5" t="e">
        <f>IF((CEILING('Course Analysis'!OI108/2,0.1))=0," ",CEILING('Course Analysis'!OI108/2,0.1))</f>
        <v>#DIV/0!</v>
      </c>
      <c r="K12"/>
      <c r="L12"/>
    </row>
    <row r="13" spans="1:12" x14ac:dyDescent="0.25">
      <c r="A13" s="176">
        <f>'Course Information'!A13</f>
        <v>4</v>
      </c>
      <c r="B13" s="177">
        <f>'Course Information'!B13</f>
        <v>0</v>
      </c>
      <c r="C13" s="178">
        <f>'Course Information'!C13</f>
        <v>0</v>
      </c>
      <c r="D13" s="178">
        <f>'Course Information'!D13</f>
        <v>0</v>
      </c>
      <c r="E13" s="5" t="str">
        <f>'Students Survey'!F45</f>
        <v xml:space="preserve"> </v>
      </c>
      <c r="F13" s="5" t="e">
        <f>IF((CEILING('Course Analysis'!OI109/2,0.1))=0," ",CEILING('Course Analysis'!OI109/2,0.1))</f>
        <v>#DIV/0!</v>
      </c>
      <c r="G13"/>
      <c r="H13"/>
      <c r="I13" s="5" t="str">
        <f>'Students Survey'!F45</f>
        <v xml:space="preserve"> </v>
      </c>
      <c r="J13" s="5" t="e">
        <f>IF((CEILING('Course Analysis'!OI109/2,0.1))=0," ",CEILING('Course Analysis'!OI109/2,0.1))</f>
        <v>#DIV/0!</v>
      </c>
      <c r="K13"/>
      <c r="L13"/>
    </row>
    <row r="14" spans="1:12" x14ac:dyDescent="0.25">
      <c r="A14" s="176">
        <f>'Course Information'!A14</f>
        <v>5</v>
      </c>
      <c r="B14" s="177">
        <f>'Course Information'!B14</f>
        <v>0</v>
      </c>
      <c r="C14" s="178">
        <f>'Course Information'!C14</f>
        <v>0</v>
      </c>
      <c r="D14" s="178">
        <f>'Course Information'!D14</f>
        <v>0</v>
      </c>
      <c r="E14" s="5" t="str">
        <f>'Students Survey'!G45</f>
        <v xml:space="preserve"> </v>
      </c>
      <c r="F14" s="5" t="e">
        <f>IF((CEILING('Course Analysis'!OI110/2,0.1))=0," ",CEILING('Course Analysis'!OI110/2,0.1))</f>
        <v>#DIV/0!</v>
      </c>
      <c r="G14"/>
      <c r="H14"/>
      <c r="I14" s="5" t="str">
        <f>'Students Survey'!G45</f>
        <v xml:space="preserve"> </v>
      </c>
      <c r="J14" s="5" t="e">
        <f>IF((CEILING('Course Analysis'!OI110/2,0.1))=0," ",CEILING('Course Analysis'!OI110/2,0.1))</f>
        <v>#DIV/0!</v>
      </c>
      <c r="K14"/>
      <c r="L14"/>
    </row>
    <row r="15" spans="1:12" x14ac:dyDescent="0.25">
      <c r="A15" s="176">
        <f>'Course Information'!A15</f>
        <v>6</v>
      </c>
      <c r="B15" s="177">
        <f>'Course Information'!B15</f>
        <v>0</v>
      </c>
      <c r="C15" s="178">
        <f>'Course Information'!C15</f>
        <v>0</v>
      </c>
      <c r="D15" s="178">
        <f>'Course Information'!D15</f>
        <v>0</v>
      </c>
      <c r="E15" s="5" t="str">
        <f>'Students Survey'!H45</f>
        <v xml:space="preserve"> </v>
      </c>
      <c r="F15" s="5" t="e">
        <f>IF((CEILING('Course Analysis'!OI111/2,0.1))=0," ",CEILING('Course Analysis'!OI111/2,0.1))</f>
        <v>#DIV/0!</v>
      </c>
      <c r="G15"/>
      <c r="H15"/>
      <c r="I15" s="5" t="str">
        <f>'Students Survey'!H45</f>
        <v xml:space="preserve"> </v>
      </c>
      <c r="J15" s="5" t="e">
        <f>IF((CEILING('Course Analysis'!OI111/2,0.1))=0," ",CEILING('Course Analysis'!OI111/2,0.1))</f>
        <v>#DIV/0!</v>
      </c>
      <c r="K15"/>
      <c r="L15"/>
    </row>
    <row r="16" spans="1:12" x14ac:dyDescent="0.25">
      <c r="A16" s="176">
        <f>'Course Information'!A16</f>
        <v>7</v>
      </c>
      <c r="B16" s="177">
        <f>'Course Information'!B16</f>
        <v>0</v>
      </c>
      <c r="C16" s="178">
        <f>'Course Information'!C16</f>
        <v>0</v>
      </c>
      <c r="D16" s="178">
        <f>'Course Information'!D16</f>
        <v>0</v>
      </c>
      <c r="E16" s="5" t="str">
        <f>'Students Survey'!I45</f>
        <v xml:space="preserve"> </v>
      </c>
      <c r="F16" s="5" t="e">
        <f>IF((CEILING('Course Analysis'!OI112/2,0.1))=0," ",CEILING('Course Analysis'!OI112/2,0.1))</f>
        <v>#DIV/0!</v>
      </c>
      <c r="G16"/>
      <c r="H16"/>
      <c r="I16" s="5" t="str">
        <f>'Students Survey'!I45</f>
        <v xml:space="preserve"> </v>
      </c>
      <c r="J16" s="5" t="e">
        <f>IF((CEILING('Course Analysis'!OI112/2,0.1))=0," ",CEILING('Course Analysis'!OI112/2,0.1))</f>
        <v>#DIV/0!</v>
      </c>
      <c r="K16"/>
      <c r="L16"/>
    </row>
    <row r="17" spans="1:12" x14ac:dyDescent="0.25">
      <c r="A17" s="176">
        <f>'Course Information'!A17</f>
        <v>8</v>
      </c>
      <c r="B17" s="177">
        <f>'Course Information'!B17</f>
        <v>0</v>
      </c>
      <c r="C17" s="178">
        <f>'Course Information'!C17</f>
        <v>0</v>
      </c>
      <c r="D17" s="178">
        <f>'Course Information'!D17</f>
        <v>0</v>
      </c>
      <c r="E17" s="5" t="str">
        <f>'Students Survey'!J45</f>
        <v xml:space="preserve"> </v>
      </c>
      <c r="F17" s="5" t="e">
        <f>IF((CEILING('Course Analysis'!OI113/2,0.1))=0," ",CEILING('Course Analysis'!OI113/2,0.1))</f>
        <v>#DIV/0!</v>
      </c>
      <c r="G17"/>
      <c r="H17"/>
      <c r="I17" s="5" t="str">
        <f>'Students Survey'!J45</f>
        <v xml:space="preserve"> </v>
      </c>
      <c r="J17" s="5" t="e">
        <f>IF((CEILING('Course Analysis'!OI113/2,0.1))=0," ",CEILING('Course Analysis'!OI113/2,0.1))</f>
        <v>#DIV/0!</v>
      </c>
      <c r="K17"/>
      <c r="L17"/>
    </row>
    <row r="18" spans="1:12" x14ac:dyDescent="0.25">
      <c r="A18" s="176">
        <f>'Course Information'!A18</f>
        <v>9</v>
      </c>
      <c r="B18" s="177">
        <f>'Course Information'!B18</f>
        <v>0</v>
      </c>
      <c r="C18" s="178">
        <f>'Course Information'!C18</f>
        <v>0</v>
      </c>
      <c r="D18" s="178">
        <f>'Course Information'!D18</f>
        <v>0</v>
      </c>
      <c r="E18" s="5" t="str">
        <f>'Students Survey'!K45</f>
        <v xml:space="preserve"> </v>
      </c>
      <c r="F18" s="5" t="e">
        <f>IF((CEILING('Course Analysis'!OI114/2,0.1))=0," ",CEILING('Course Analysis'!OI114/2,0.1))</f>
        <v>#DIV/0!</v>
      </c>
      <c r="G18"/>
      <c r="H18"/>
      <c r="I18" s="5" t="str">
        <f>'Students Survey'!K45</f>
        <v xml:space="preserve"> </v>
      </c>
      <c r="J18" s="5" t="e">
        <f>IF((CEILING('Course Analysis'!OI114/2,0.1))=0," ",CEILING('Course Analysis'!OI114/2,0.1))</f>
        <v>#DIV/0!</v>
      </c>
      <c r="K18"/>
      <c r="L18"/>
    </row>
    <row r="19" spans="1:12" x14ac:dyDescent="0.25">
      <c r="A19" s="176">
        <f>'Course Information'!A19</f>
        <v>10</v>
      </c>
      <c r="B19" s="177">
        <f>'Course Information'!B19</f>
        <v>0</v>
      </c>
      <c r="C19" s="178">
        <f>'Course Information'!C19</f>
        <v>0</v>
      </c>
      <c r="D19" s="178">
        <f>'Course Information'!D19</f>
        <v>0</v>
      </c>
      <c r="E19" s="5" t="str">
        <f>'Students Survey'!L45</f>
        <v xml:space="preserve"> </v>
      </c>
      <c r="F19" s="5" t="e">
        <f>IF((CEILING('Course Analysis'!OI115/2,0.1))=0," ",CEILING('Course Analysis'!OI115/2,0.1))</f>
        <v>#DIV/0!</v>
      </c>
      <c r="G19"/>
      <c r="H19"/>
      <c r="I19" s="5" t="str">
        <f>'Students Survey'!L45</f>
        <v xml:space="preserve"> </v>
      </c>
      <c r="J19" s="5" t="e">
        <f>IF((CEILING('Course Analysis'!OI115/2,0.1))=0," ",CEILING('Course Analysis'!OI115/2,0.1))</f>
        <v>#DIV/0!</v>
      </c>
      <c r="K19"/>
      <c r="L19"/>
    </row>
    <row r="20" spans="1:12" x14ac:dyDescent="0.25">
      <c r="A20" s="176">
        <f>'Course Information'!A20</f>
        <v>11</v>
      </c>
      <c r="B20" s="177">
        <f>'Course Information'!B20</f>
        <v>0</v>
      </c>
      <c r="C20" s="178">
        <f>'Course Information'!C20</f>
        <v>0</v>
      </c>
      <c r="D20" s="178">
        <f>'Course Information'!D20</f>
        <v>0</v>
      </c>
      <c r="E20" s="5" t="str">
        <f>'Students Survey'!M45</f>
        <v xml:space="preserve"> </v>
      </c>
      <c r="F20" s="5" t="e">
        <f>IF((CEILING('Course Analysis'!OI116/2,0.1))=0," ",CEILING('Course Analysis'!OI116/2,0.1))</f>
        <v>#DIV/0!</v>
      </c>
      <c r="G20"/>
      <c r="H20"/>
      <c r="I20" s="5" t="str">
        <f>'Students Survey'!M45</f>
        <v xml:space="preserve"> </v>
      </c>
      <c r="J20" s="5" t="e">
        <f>IF((CEILING('Course Analysis'!OI116/2,0.1))=0," ",CEILING('Course Analysis'!OI116/2,0.1))</f>
        <v>#DIV/0!</v>
      </c>
      <c r="K20"/>
      <c r="L20"/>
    </row>
    <row r="21" spans="1:12" x14ac:dyDescent="0.25">
      <c r="A21" s="176">
        <f>'Course Information'!A21</f>
        <v>12</v>
      </c>
      <c r="B21" s="177">
        <f>'Course Information'!B21</f>
        <v>0</v>
      </c>
      <c r="C21" s="178">
        <f>'Course Information'!C21</f>
        <v>0</v>
      </c>
      <c r="D21" s="178">
        <f>'Course Information'!D21</f>
        <v>0</v>
      </c>
      <c r="E21" s="5" t="str">
        <f>'Students Survey'!N45</f>
        <v xml:space="preserve"> </v>
      </c>
      <c r="F21" s="5" t="e">
        <f>IF((CEILING('Course Analysis'!OI117/2,0.1))=0," ",CEILING('Course Analysis'!OI117/2,0.1))</f>
        <v>#DIV/0!</v>
      </c>
      <c r="G21"/>
      <c r="H21"/>
      <c r="I21" s="5" t="str">
        <f>'Students Survey'!N45</f>
        <v xml:space="preserve"> </v>
      </c>
      <c r="J21" s="5" t="e">
        <f>IF((CEILING('Course Analysis'!OI117/2,0.1))=0," ",CEILING('Course Analysis'!OI117/2,0.1))</f>
        <v>#DIV/0!</v>
      </c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</sheetData>
  <mergeCells count="1">
    <mergeCell ref="C9:D9"/>
  </mergeCells>
  <conditionalFormatting sqref="C4:C6">
    <cfRule type="containsBlanks" dxfId="61" priority="2" stopIfTrue="1">
      <formula>LEN(TRIM(C4))=0</formula>
    </cfRule>
  </conditionalFormatting>
  <pageMargins left="0.25" right="0.25" top="0.75" bottom="0.75" header="0.3" footer="0.3"/>
  <pageSetup paperSize="8" scale="60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FFFF00"/>
  </sheetPr>
  <dimension ref="A1:D95"/>
  <sheetViews>
    <sheetView workbookViewId="0"/>
  </sheetViews>
  <sheetFormatPr defaultRowHeight="15" x14ac:dyDescent="0.25"/>
  <cols>
    <col min="1" max="1" width="23.85546875" customWidth="1"/>
    <col min="2" max="2" width="35.5703125" customWidth="1"/>
    <col min="3" max="3" width="59.85546875" customWidth="1"/>
  </cols>
  <sheetData>
    <row r="1" spans="1:2" ht="18" x14ac:dyDescent="0.25">
      <c r="A1" s="68"/>
    </row>
    <row r="2" spans="1:2" x14ac:dyDescent="0.25">
      <c r="A2" s="69"/>
    </row>
    <row r="3" spans="1:2" ht="16.5" x14ac:dyDescent="0.25">
      <c r="A3" s="70"/>
    </row>
    <row r="4" spans="1:2" x14ac:dyDescent="0.25">
      <c r="A4" s="71"/>
    </row>
    <row r="5" spans="1:2" ht="15.75" x14ac:dyDescent="0.25">
      <c r="A5" s="72"/>
    </row>
    <row r="6" spans="1:2" x14ac:dyDescent="0.25">
      <c r="A6" s="73"/>
    </row>
    <row r="7" spans="1:2" ht="16.5" x14ac:dyDescent="0.25">
      <c r="A7" s="70"/>
    </row>
    <row r="8" spans="1:2" ht="15.75" x14ac:dyDescent="0.25">
      <c r="A8" s="74"/>
    </row>
    <row r="9" spans="1:2" ht="16.5" x14ac:dyDescent="0.25">
      <c r="A9" s="70"/>
    </row>
    <row r="10" spans="1:2" x14ac:dyDescent="0.25">
      <c r="A10" s="73"/>
    </row>
    <row r="11" spans="1:2" ht="15.75" x14ac:dyDescent="0.25">
      <c r="A11" s="74"/>
      <c r="B11" s="74"/>
    </row>
    <row r="12" spans="1:2" ht="15.75" x14ac:dyDescent="0.25">
      <c r="A12" s="74"/>
      <c r="B12" s="74"/>
    </row>
    <row r="13" spans="1:2" ht="15.75" x14ac:dyDescent="0.25">
      <c r="A13" s="75"/>
    </row>
    <row r="14" spans="1:2" ht="16.5" x14ac:dyDescent="0.25">
      <c r="A14" s="70"/>
      <c r="B14" s="72"/>
    </row>
    <row r="15" spans="1:2" ht="15.75" x14ac:dyDescent="0.25">
      <c r="B15" s="72"/>
    </row>
    <row r="16" spans="1:2" ht="15.75" x14ac:dyDescent="0.25">
      <c r="B16" s="72"/>
    </row>
    <row r="17" spans="1:2" ht="15.75" x14ac:dyDescent="0.25">
      <c r="B17" s="72"/>
    </row>
    <row r="18" spans="1:2" ht="15.75" x14ac:dyDescent="0.25">
      <c r="A18" s="72"/>
    </row>
    <row r="19" spans="1:2" ht="15.75" x14ac:dyDescent="0.25">
      <c r="B19" s="72"/>
    </row>
    <row r="20" spans="1:2" ht="15.75" x14ac:dyDescent="0.25">
      <c r="B20" s="72"/>
    </row>
    <row r="21" spans="1:2" ht="15.75" x14ac:dyDescent="0.25">
      <c r="B21" s="72"/>
    </row>
    <row r="22" spans="1:2" ht="15.75" x14ac:dyDescent="0.25">
      <c r="B22" s="72"/>
    </row>
    <row r="23" spans="1:2" ht="15.75" x14ac:dyDescent="0.25">
      <c r="A23" s="76"/>
    </row>
    <row r="24" spans="1:2" ht="16.5" x14ac:dyDescent="0.25">
      <c r="A24" s="70"/>
    </row>
    <row r="25" spans="1:2" ht="15.75" x14ac:dyDescent="0.25">
      <c r="A25" s="75"/>
    </row>
    <row r="26" spans="1:2" ht="15.75" x14ac:dyDescent="0.25">
      <c r="A26" s="93"/>
    </row>
    <row r="27" spans="1:2" ht="15.75" x14ac:dyDescent="0.25">
      <c r="A27" s="77"/>
    </row>
    <row r="28" spans="1:2" ht="16.5" x14ac:dyDescent="0.25">
      <c r="A28" s="70"/>
    </row>
    <row r="29" spans="1:2" ht="15.75" x14ac:dyDescent="0.25">
      <c r="A29" s="72"/>
    </row>
    <row r="30" spans="1:2" ht="15.75" x14ac:dyDescent="0.25">
      <c r="A30" s="72"/>
    </row>
    <row r="31" spans="1:2" ht="15.75" x14ac:dyDescent="0.25">
      <c r="A31" s="72"/>
    </row>
    <row r="32" spans="1:2" ht="15.75" x14ac:dyDescent="0.25">
      <c r="A32" s="72"/>
    </row>
    <row r="33" spans="1:1" ht="15.75" x14ac:dyDescent="0.25">
      <c r="A33" s="72"/>
    </row>
    <row r="34" spans="1:1" ht="16.5" x14ac:dyDescent="0.25">
      <c r="A34" s="70"/>
    </row>
    <row r="35" spans="1:1" x14ac:dyDescent="0.25">
      <c r="A35" s="78"/>
    </row>
    <row r="36" spans="1:1" ht="15.75" x14ac:dyDescent="0.25">
      <c r="A36" s="72"/>
    </row>
    <row r="37" spans="1:1" ht="15.75" x14ac:dyDescent="0.25">
      <c r="A37" s="72"/>
    </row>
    <row r="38" spans="1:1" ht="15.75" x14ac:dyDescent="0.25">
      <c r="A38" s="79"/>
    </row>
    <row r="39" spans="1:1" ht="15.75" x14ac:dyDescent="0.25">
      <c r="A39" s="79"/>
    </row>
    <row r="40" spans="1:1" ht="15.75" x14ac:dyDescent="0.25">
      <c r="A40" s="79"/>
    </row>
    <row r="41" spans="1:1" ht="15.75" x14ac:dyDescent="0.25">
      <c r="A41" s="79"/>
    </row>
    <row r="42" spans="1:1" ht="15.75" x14ac:dyDescent="0.25">
      <c r="A42" s="79"/>
    </row>
    <row r="43" spans="1:1" ht="15.75" x14ac:dyDescent="0.25">
      <c r="A43" s="79"/>
    </row>
    <row r="44" spans="1:1" ht="15.75" x14ac:dyDescent="0.25">
      <c r="A44" s="77"/>
    </row>
    <row r="45" spans="1:1" ht="16.5" x14ac:dyDescent="0.25">
      <c r="A45" s="70"/>
    </row>
    <row r="46" spans="1:1" x14ac:dyDescent="0.25">
      <c r="A46" s="80"/>
    </row>
    <row r="47" spans="1:1" ht="15.75" x14ac:dyDescent="0.25">
      <c r="A47" s="81"/>
    </row>
    <row r="48" spans="1:1" ht="15.75" x14ac:dyDescent="0.25">
      <c r="A48" s="72"/>
    </row>
    <row r="49" spans="1:1" ht="15.75" x14ac:dyDescent="0.25">
      <c r="A49" s="81"/>
    </row>
    <row r="50" spans="1:1" ht="15.75" x14ac:dyDescent="0.25">
      <c r="A50" s="82"/>
    </row>
    <row r="51" spans="1:1" ht="15.75" x14ac:dyDescent="0.25">
      <c r="A51" s="81"/>
    </row>
    <row r="52" spans="1:1" ht="15.75" x14ac:dyDescent="0.25">
      <c r="A52" s="82"/>
    </row>
    <row r="53" spans="1:1" ht="15.75" x14ac:dyDescent="0.25">
      <c r="A53" s="81"/>
    </row>
    <row r="54" spans="1:1" ht="15.75" x14ac:dyDescent="0.25">
      <c r="A54" s="81"/>
    </row>
    <row r="55" spans="1:1" ht="15.75" x14ac:dyDescent="0.25">
      <c r="A55" s="81"/>
    </row>
    <row r="56" spans="1:1" ht="15.75" x14ac:dyDescent="0.25">
      <c r="A56" s="81"/>
    </row>
    <row r="57" spans="1:1" ht="15.75" x14ac:dyDescent="0.25">
      <c r="A57" s="81"/>
    </row>
    <row r="58" spans="1:1" ht="15.75" x14ac:dyDescent="0.25">
      <c r="A58" s="72"/>
    </row>
    <row r="59" spans="1:1" ht="16.5" x14ac:dyDescent="0.25">
      <c r="A59" s="70"/>
    </row>
    <row r="60" spans="1:1" ht="15.75" x14ac:dyDescent="0.25">
      <c r="A60" s="72"/>
    </row>
    <row r="61" spans="1:1" ht="15.75" x14ac:dyDescent="0.25">
      <c r="A61" s="72"/>
    </row>
    <row r="62" spans="1:1" ht="15.75" x14ac:dyDescent="0.25">
      <c r="A62" s="72"/>
    </row>
    <row r="63" spans="1:1" ht="16.5" x14ac:dyDescent="0.25">
      <c r="A63" s="70"/>
    </row>
    <row r="64" spans="1:1" ht="15.75" x14ac:dyDescent="0.25">
      <c r="A64" s="83"/>
    </row>
    <row r="65" spans="1:2" ht="15.75" x14ac:dyDescent="0.25">
      <c r="A65" s="82"/>
      <c r="B65" s="84"/>
    </row>
    <row r="66" spans="1:2" ht="15.75" x14ac:dyDescent="0.25">
      <c r="A66" s="82"/>
      <c r="B66" s="84"/>
    </row>
    <row r="67" spans="1:2" ht="15.75" x14ac:dyDescent="0.25">
      <c r="A67" s="82"/>
      <c r="B67" s="84"/>
    </row>
    <row r="68" spans="1:2" ht="15.75" x14ac:dyDescent="0.25">
      <c r="A68" s="82"/>
      <c r="B68" s="84"/>
    </row>
    <row r="69" spans="1:2" ht="15.75" x14ac:dyDescent="0.25">
      <c r="A69" s="85"/>
      <c r="B69" s="86"/>
    </row>
    <row r="70" spans="1:2" ht="15.75" x14ac:dyDescent="0.25">
      <c r="B70" s="82"/>
    </row>
    <row r="71" spans="1:2" ht="15.75" x14ac:dyDescent="0.25">
      <c r="A71" s="72"/>
    </row>
    <row r="72" spans="1:2" ht="16.5" x14ac:dyDescent="0.25">
      <c r="A72" s="70"/>
    </row>
    <row r="73" spans="1:2" ht="15.75" x14ac:dyDescent="0.25">
      <c r="A73" s="72"/>
    </row>
    <row r="74" spans="1:2" ht="15.75" x14ac:dyDescent="0.25">
      <c r="A74" s="72"/>
    </row>
    <row r="75" spans="1:2" ht="15.75" x14ac:dyDescent="0.25">
      <c r="A75" s="81"/>
    </row>
    <row r="76" spans="1:2" ht="15.75" x14ac:dyDescent="0.25">
      <c r="A76" s="81"/>
    </row>
    <row r="77" spans="1:2" ht="15.75" x14ac:dyDescent="0.25">
      <c r="A77" s="81"/>
    </row>
    <row r="78" spans="1:2" ht="15.75" x14ac:dyDescent="0.25">
      <c r="A78" s="81"/>
    </row>
    <row r="79" spans="1:2" ht="15.75" x14ac:dyDescent="0.25">
      <c r="A79" s="81"/>
    </row>
    <row r="80" spans="1:2" ht="15.75" x14ac:dyDescent="0.25">
      <c r="A80" s="81"/>
    </row>
    <row r="81" spans="1:4" ht="15.75" x14ac:dyDescent="0.25">
      <c r="A81" s="81"/>
    </row>
    <row r="82" spans="1:4" ht="16.5" thickBot="1" x14ac:dyDescent="0.3">
      <c r="A82" s="72"/>
    </row>
    <row r="83" spans="1:4" ht="15.75" thickBot="1" x14ac:dyDescent="0.3">
      <c r="A83" s="87"/>
      <c r="B83" s="88"/>
      <c r="C83" s="88"/>
      <c r="D83" s="88"/>
    </row>
    <row r="84" spans="1:4" ht="15.75" thickBot="1" x14ac:dyDescent="0.3">
      <c r="A84" s="89"/>
      <c r="B84" s="90"/>
      <c r="C84" s="90"/>
      <c r="D84" s="90"/>
    </row>
    <row r="85" spans="1:4" ht="15.75" thickBot="1" x14ac:dyDescent="0.3">
      <c r="A85" s="89"/>
      <c r="B85" s="90"/>
      <c r="C85" s="90"/>
      <c r="D85" s="90"/>
    </row>
    <row r="86" spans="1:4" ht="15.75" thickBot="1" x14ac:dyDescent="0.3">
      <c r="A86" s="89"/>
      <c r="B86" s="90"/>
      <c r="C86" s="90"/>
      <c r="D86" s="90"/>
    </row>
    <row r="87" spans="1:4" ht="15.75" thickBot="1" x14ac:dyDescent="0.3">
      <c r="A87" s="89"/>
      <c r="B87" s="90"/>
      <c r="C87" s="90"/>
      <c r="D87" s="90"/>
    </row>
    <row r="88" spans="1:4" x14ac:dyDescent="0.25">
      <c r="A88" s="641"/>
      <c r="B88" s="94"/>
      <c r="C88" s="643"/>
      <c r="D88" s="645"/>
    </row>
    <row r="89" spans="1:4" ht="15.75" thickBot="1" x14ac:dyDescent="0.3">
      <c r="A89" s="642"/>
      <c r="B89" s="90"/>
      <c r="C89" s="644"/>
      <c r="D89" s="646"/>
    </row>
    <row r="90" spans="1:4" ht="15.75" thickBot="1" x14ac:dyDescent="0.3">
      <c r="A90" s="89"/>
      <c r="B90" s="90"/>
      <c r="C90" s="95"/>
      <c r="D90" s="90"/>
    </row>
    <row r="91" spans="1:4" ht="15.75" thickBot="1" x14ac:dyDescent="0.3">
      <c r="A91" s="89"/>
      <c r="B91" s="90"/>
      <c r="C91" s="90"/>
      <c r="D91" s="90"/>
    </row>
    <row r="92" spans="1:4" ht="15.75" thickBot="1" x14ac:dyDescent="0.3">
      <c r="A92" s="89"/>
      <c r="B92" s="90"/>
      <c r="C92" s="90"/>
      <c r="D92" s="90"/>
    </row>
    <row r="93" spans="1:4" ht="15.75" thickBot="1" x14ac:dyDescent="0.3">
      <c r="A93" s="89"/>
      <c r="B93" s="90"/>
      <c r="C93" s="90"/>
      <c r="D93" s="90"/>
    </row>
    <row r="94" spans="1:4" ht="15.75" x14ac:dyDescent="0.25">
      <c r="A94" s="72"/>
    </row>
    <row r="95" spans="1:4" x14ac:dyDescent="0.25">
      <c r="A95" s="96"/>
    </row>
  </sheetData>
  <mergeCells count="3">
    <mergeCell ref="A88:A89"/>
    <mergeCell ref="C88:C89"/>
    <mergeCell ref="D88:D8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FF0000"/>
  </sheetPr>
  <dimension ref="A1:R23"/>
  <sheetViews>
    <sheetView workbookViewId="0">
      <selection activeCell="I1" sqref="I1:L12"/>
    </sheetView>
  </sheetViews>
  <sheetFormatPr defaultRowHeight="15" x14ac:dyDescent="0.25"/>
  <sheetData>
    <row r="1" spans="1:18" ht="18.75" x14ac:dyDescent="0.3">
      <c r="A1" s="15" t="s">
        <v>31</v>
      </c>
      <c r="B1" s="16"/>
      <c r="C1" s="16"/>
      <c r="I1" s="15"/>
      <c r="J1" s="16"/>
      <c r="K1" s="16"/>
    </row>
    <row r="2" spans="1:18" x14ac:dyDescent="0.25"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32" t="s">
        <v>24</v>
      </c>
      <c r="B3" s="33"/>
      <c r="C3" s="33"/>
      <c r="D3" s="27">
        <v>0.1</v>
      </c>
      <c r="E3" s="28"/>
      <c r="F3" s="28"/>
      <c r="G3" s="28"/>
      <c r="H3" s="28"/>
      <c r="I3" s="34"/>
      <c r="J3" s="35"/>
      <c r="K3" s="36"/>
      <c r="L3" s="13"/>
      <c r="M3" s="13"/>
      <c r="N3" s="13"/>
      <c r="O3" s="13"/>
      <c r="P3" s="13"/>
      <c r="Q3" s="13"/>
      <c r="R3" s="13"/>
    </row>
    <row r="4" spans="1:18" x14ac:dyDescent="0.25">
      <c r="A4" s="37"/>
      <c r="B4" s="38"/>
      <c r="C4" s="38"/>
      <c r="D4" s="29"/>
      <c r="E4" s="28"/>
      <c r="F4" s="28"/>
      <c r="G4" s="28"/>
      <c r="H4" s="28"/>
      <c r="I4" s="39"/>
      <c r="J4" s="40"/>
      <c r="K4" s="41"/>
      <c r="L4" s="13"/>
      <c r="M4" s="13"/>
      <c r="N4" s="13"/>
      <c r="O4" s="13"/>
      <c r="P4" s="13"/>
      <c r="Q4" s="13"/>
      <c r="R4" s="13"/>
    </row>
    <row r="5" spans="1:18" x14ac:dyDescent="0.25">
      <c r="A5" s="37" t="s">
        <v>23</v>
      </c>
      <c r="B5" s="38"/>
      <c r="C5" s="38"/>
      <c r="D5" s="30">
        <v>0.1</v>
      </c>
      <c r="E5" s="28"/>
      <c r="F5" s="28"/>
      <c r="G5" s="28"/>
      <c r="H5" s="28"/>
      <c r="I5" s="39"/>
      <c r="J5" s="40"/>
      <c r="K5" s="41"/>
      <c r="L5" s="13"/>
      <c r="M5" s="13"/>
      <c r="N5" s="13"/>
      <c r="O5" s="13"/>
      <c r="P5" s="13"/>
      <c r="Q5" s="13"/>
      <c r="R5" s="13"/>
    </row>
    <row r="6" spans="1:18" x14ac:dyDescent="0.25">
      <c r="A6" s="37"/>
      <c r="B6" s="38"/>
      <c r="C6" s="38"/>
      <c r="D6" s="29"/>
      <c r="E6" s="28"/>
      <c r="F6" s="28"/>
      <c r="G6" s="28"/>
      <c r="H6" s="28"/>
      <c r="I6" s="39"/>
      <c r="J6" s="40"/>
      <c r="K6" s="41"/>
      <c r="L6" s="13"/>
      <c r="M6" s="13"/>
      <c r="N6" s="13"/>
      <c r="O6" s="13"/>
      <c r="P6" s="13"/>
      <c r="Q6" s="13"/>
      <c r="R6" s="13"/>
    </row>
    <row r="7" spans="1:18" x14ac:dyDescent="0.25">
      <c r="A7" s="37" t="s">
        <v>58</v>
      </c>
      <c r="B7" s="38"/>
      <c r="C7" s="38"/>
      <c r="D7" s="30">
        <v>0.1</v>
      </c>
      <c r="E7" s="28"/>
      <c r="F7" s="28"/>
      <c r="G7" s="28"/>
      <c r="H7" s="28"/>
      <c r="I7" s="39"/>
      <c r="J7" s="40"/>
      <c r="K7" s="41"/>
    </row>
    <row r="8" spans="1:18" ht="15.75" x14ac:dyDescent="0.25">
      <c r="A8" s="37"/>
      <c r="B8" s="38"/>
      <c r="C8" s="38"/>
      <c r="D8" s="29"/>
      <c r="E8" s="28"/>
      <c r="F8" s="28"/>
      <c r="G8" s="28"/>
      <c r="H8" s="28"/>
      <c r="I8" s="39"/>
      <c r="J8" s="40"/>
      <c r="K8" s="41"/>
      <c r="L8" s="18"/>
      <c r="M8" s="18"/>
      <c r="N8" s="18"/>
      <c r="O8" s="18"/>
      <c r="P8" s="18"/>
      <c r="Q8" s="14"/>
    </row>
    <row r="9" spans="1:18" ht="15.75" x14ac:dyDescent="0.25">
      <c r="A9" s="37" t="s">
        <v>26</v>
      </c>
      <c r="B9" s="38"/>
      <c r="C9" s="38"/>
      <c r="D9" s="30">
        <v>0.3</v>
      </c>
      <c r="E9" s="28"/>
      <c r="F9" s="28"/>
      <c r="G9" s="28"/>
      <c r="H9" s="28"/>
      <c r="I9" s="39"/>
      <c r="J9" s="40"/>
      <c r="K9" s="41"/>
      <c r="L9" s="18"/>
      <c r="M9" s="18"/>
      <c r="N9" s="18"/>
      <c r="O9" s="18"/>
      <c r="P9" s="18"/>
      <c r="Q9" s="14"/>
    </row>
    <row r="10" spans="1:18" ht="15.75" x14ac:dyDescent="0.25">
      <c r="A10" s="37"/>
      <c r="B10" s="38"/>
      <c r="C10" s="38"/>
      <c r="D10" s="29"/>
      <c r="E10" s="28"/>
      <c r="F10" s="28"/>
      <c r="G10" s="28"/>
      <c r="H10" s="28"/>
      <c r="I10" s="39"/>
      <c r="J10" s="40"/>
      <c r="K10" s="41"/>
      <c r="L10" s="18"/>
      <c r="M10" s="18"/>
      <c r="N10" s="18"/>
      <c r="O10" s="18"/>
      <c r="P10" s="18"/>
      <c r="Q10" s="14"/>
    </row>
    <row r="11" spans="1:18" ht="15.75" x14ac:dyDescent="0.25">
      <c r="A11" s="42" t="s">
        <v>25</v>
      </c>
      <c r="B11" s="43"/>
      <c r="C11" s="43"/>
      <c r="D11" s="31">
        <v>0.4</v>
      </c>
      <c r="E11" s="28"/>
      <c r="F11" s="28"/>
      <c r="G11" s="28"/>
      <c r="H11" s="28"/>
      <c r="I11" s="44"/>
      <c r="J11" s="45"/>
      <c r="K11" s="46"/>
      <c r="L11" s="18"/>
      <c r="M11" s="18"/>
      <c r="N11" s="18"/>
      <c r="O11" s="18"/>
      <c r="P11" s="18"/>
      <c r="Q11" s="14"/>
    </row>
    <row r="12" spans="1:18" ht="15.75" x14ac:dyDescent="0.25">
      <c r="I12" s="18"/>
      <c r="J12" s="18"/>
      <c r="K12" s="18"/>
      <c r="L12" s="18"/>
      <c r="M12" s="18"/>
      <c r="N12" s="18"/>
      <c r="O12" s="18"/>
      <c r="P12" s="18"/>
      <c r="Q12" s="14"/>
    </row>
    <row r="13" spans="1:18" ht="15.75" x14ac:dyDescent="0.25">
      <c r="I13" s="18"/>
      <c r="J13" s="18"/>
      <c r="K13" s="18"/>
      <c r="L13" s="18"/>
      <c r="M13" s="18"/>
      <c r="N13" s="18"/>
      <c r="O13" s="18"/>
      <c r="P13" s="18"/>
      <c r="Q13" s="14"/>
    </row>
    <row r="14" spans="1:18" ht="15.75" x14ac:dyDescent="0.25">
      <c r="L14" s="17"/>
      <c r="M14" s="18"/>
      <c r="N14" s="18"/>
      <c r="O14" s="18"/>
      <c r="P14" s="18"/>
      <c r="Q14" s="14"/>
    </row>
    <row r="23" spans="10:10" ht="15.75" x14ac:dyDescent="0.25">
      <c r="J23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theme="5" tint="-0.249977111117893"/>
  </sheetPr>
  <dimension ref="A1:S87"/>
  <sheetViews>
    <sheetView topLeftCell="F64" zoomScale="70" zoomScaleNormal="70" workbookViewId="0">
      <selection activeCell="O42" sqref="O42:O43"/>
    </sheetView>
  </sheetViews>
  <sheetFormatPr defaultRowHeight="15" x14ac:dyDescent="0.25"/>
  <cols>
    <col min="1" max="3" width="0" hidden="1" customWidth="1"/>
    <col min="4" max="4" width="34.7109375" hidden="1" customWidth="1"/>
    <col min="5" max="5" width="131.7109375" hidden="1" customWidth="1"/>
    <col min="6" max="6" width="18.7109375" customWidth="1"/>
    <col min="7" max="7" width="33.28515625" customWidth="1"/>
    <col min="8" max="8" width="25.7109375" customWidth="1"/>
    <col min="9" max="14" width="22.85546875" customWidth="1"/>
    <col min="15" max="15" width="15.5703125" bestFit="1" customWidth="1"/>
    <col min="18" max="18" width="12.140625" hidden="1" customWidth="1"/>
    <col min="19" max="19" width="0" hidden="1" customWidth="1"/>
  </cols>
  <sheetData>
    <row r="1" spans="1:19" ht="15.75" thickBot="1" x14ac:dyDescent="0.3">
      <c r="G1" s="652" t="s">
        <v>414</v>
      </c>
      <c r="H1" s="652"/>
    </row>
    <row r="2" spans="1:19" ht="16.5" thickBot="1" x14ac:dyDescent="0.3">
      <c r="G2" s="682" t="s">
        <v>342</v>
      </c>
      <c r="H2" s="683"/>
    </row>
    <row r="3" spans="1:19" ht="15.75" x14ac:dyDescent="0.25">
      <c r="G3" s="286" t="s">
        <v>419</v>
      </c>
      <c r="H3" s="287" t="s">
        <v>340</v>
      </c>
    </row>
    <row r="4" spans="1:19" ht="15.75" x14ac:dyDescent="0.25">
      <c r="G4" s="288" t="str">
        <f>'Course Information'!B2</f>
        <v>Course ID</v>
      </c>
      <c r="H4" s="289" t="str">
        <f>IF('Course Information'!C2="","",'Course Information'!C2)</f>
        <v/>
      </c>
    </row>
    <row r="5" spans="1:19" ht="15.75" x14ac:dyDescent="0.25">
      <c r="G5" s="288" t="str">
        <f>'Course Information'!B3</f>
        <v>Semester / Academic Year</v>
      </c>
      <c r="H5" s="289" t="str">
        <f>IF('Course Information'!C3="","",'Course Information'!C3)</f>
        <v/>
      </c>
    </row>
    <row r="6" spans="1:19" ht="15.75" x14ac:dyDescent="0.25">
      <c r="G6" s="288" t="str">
        <f>'Course Information'!B4</f>
        <v>Instructor Name</v>
      </c>
      <c r="H6" s="289" t="str">
        <f>IF('Course Information'!C4="","",'Course Information'!C4)</f>
        <v/>
      </c>
    </row>
    <row r="7" spans="1:19" ht="15.75" x14ac:dyDescent="0.25">
      <c r="G7" s="288" t="s">
        <v>190</v>
      </c>
      <c r="H7" s="289" t="str">
        <f>IF('Course Information'!C5="","",'Course Information'!C5)</f>
        <v/>
      </c>
    </row>
    <row r="8" spans="1:19" ht="16.5" thickBot="1" x14ac:dyDescent="0.3">
      <c r="G8" s="290" t="str">
        <f>'Course Information'!B6</f>
        <v xml:space="preserve">Number of Students </v>
      </c>
      <c r="H8" s="291" t="str">
        <f>IF('Course Information'!C6="","",'Course Information'!C6)</f>
        <v/>
      </c>
    </row>
    <row r="11" spans="1:19" ht="21.75" customHeight="1" thickBot="1" x14ac:dyDescent="0.3">
      <c r="B11" s="652" t="s">
        <v>408</v>
      </c>
      <c r="C11" s="652"/>
      <c r="D11" s="652"/>
      <c r="E11" s="652"/>
      <c r="F11" s="282"/>
      <c r="G11" s="319" t="s">
        <v>415</v>
      </c>
      <c r="H11" s="320"/>
      <c r="I11" s="320"/>
      <c r="J11" s="320"/>
      <c r="K11" s="320"/>
      <c r="L11" s="320"/>
      <c r="M11" s="320"/>
      <c r="N11" s="320"/>
      <c r="O11" s="282"/>
    </row>
    <row r="12" spans="1:19" ht="16.5" customHeight="1" thickBot="1" x14ac:dyDescent="0.3">
      <c r="A12" s="269"/>
      <c r="B12" s="314" t="s">
        <v>378</v>
      </c>
      <c r="C12" s="297" t="s">
        <v>379</v>
      </c>
      <c r="D12" s="297" t="s">
        <v>380</v>
      </c>
      <c r="E12" s="300" t="s">
        <v>381</v>
      </c>
      <c r="F12" s="282"/>
      <c r="G12" s="688" t="s">
        <v>382</v>
      </c>
      <c r="H12" s="688" t="str">
        <f>Project!A1</f>
        <v>Project Sheet</v>
      </c>
      <c r="I12" s="688" t="str">
        <f>Homework!A1</f>
        <v>Homework Sheet</v>
      </c>
      <c r="J12" s="688" t="str">
        <f>Quizzes!A1</f>
        <v>Quizzes sheet</v>
      </c>
      <c r="K12" s="688" t="str">
        <f>Laboratory!A1</f>
        <v>Laboratory Sheet</v>
      </c>
      <c r="L12" s="688" t="str">
        <f>'Midterm 1'!A1</f>
        <v>Midterm Exam Sheet</v>
      </c>
      <c r="M12" s="688" t="str">
        <f>'Final Exam'!A1</f>
        <v>Final Exam Sheet</v>
      </c>
      <c r="N12" s="688"/>
      <c r="O12" s="671" t="s">
        <v>404</v>
      </c>
    </row>
    <row r="13" spans="1:19" ht="45" customHeight="1" thickBot="1" x14ac:dyDescent="0.3">
      <c r="A13" s="269"/>
      <c r="B13" s="661" t="s">
        <v>311</v>
      </c>
      <c r="C13" s="664"/>
      <c r="D13" s="665"/>
      <c r="E13" s="301" t="s">
        <v>345</v>
      </c>
      <c r="F13" s="282"/>
      <c r="G13" s="689"/>
      <c r="H13" s="689"/>
      <c r="I13" s="689"/>
      <c r="J13" s="689"/>
      <c r="K13" s="689"/>
      <c r="L13" s="689"/>
      <c r="M13" s="689"/>
      <c r="N13" s="689"/>
      <c r="O13" s="672"/>
      <c r="R13" t="s">
        <v>424</v>
      </c>
      <c r="S13">
        <f>'Course Information'!C6</f>
        <v>0</v>
      </c>
    </row>
    <row r="14" spans="1:19" ht="16.5" customHeight="1" x14ac:dyDescent="0.25">
      <c r="A14" s="269"/>
      <c r="B14" s="662"/>
      <c r="C14" s="298" t="s">
        <v>346</v>
      </c>
      <c r="D14" s="316">
        <f>'Course Information'!C40</f>
        <v>0.25</v>
      </c>
      <c r="E14" s="302" t="s">
        <v>347</v>
      </c>
      <c r="F14" s="282"/>
      <c r="G14" s="669" t="s">
        <v>383</v>
      </c>
      <c r="H14" s="328" t="str">
        <f>Project!M52</f>
        <v/>
      </c>
      <c r="I14" s="328" t="str">
        <f>Homework!W52</f>
        <v/>
      </c>
      <c r="J14" s="328" t="str">
        <f>Quizzes!R52</f>
        <v/>
      </c>
      <c r="K14" s="328" t="str">
        <f>Laboratory!Q52</f>
        <v/>
      </c>
      <c r="L14" s="328" t="str">
        <f>'Midterm 1'!AG52</f>
        <v/>
      </c>
      <c r="M14" s="328" t="str">
        <f>'Final Exam'!AH53</f>
        <v/>
      </c>
      <c r="N14" s="322" t="str">
        <f>IF(N15="","",SUM(H14:M14))</f>
        <v/>
      </c>
      <c r="O14" s="666">
        <f>IF(ISERROR(N14/N15),0,N14/N15)</f>
        <v>0</v>
      </c>
      <c r="R14" t="e">
        <f>N14/N15</f>
        <v>#VALUE!</v>
      </c>
      <c r="S14" t="e">
        <f>R14*5/S$13</f>
        <v>#VALUE!</v>
      </c>
    </row>
    <row r="15" spans="1:19" ht="15.75" x14ac:dyDescent="0.25">
      <c r="A15" s="269"/>
      <c r="B15" s="662"/>
      <c r="C15" s="298" t="s">
        <v>350</v>
      </c>
      <c r="D15" s="316">
        <f>'Course Information'!C41</f>
        <v>0.25</v>
      </c>
      <c r="E15" s="302" t="s">
        <v>348</v>
      </c>
      <c r="F15" s="282"/>
      <c r="G15" s="670"/>
      <c r="H15" s="317">
        <f>Project!N52</f>
        <v>0</v>
      </c>
      <c r="I15" s="317">
        <f>Homework!X52</f>
        <v>0</v>
      </c>
      <c r="J15" s="317">
        <f>Quizzes!S52</f>
        <v>0</v>
      </c>
      <c r="K15" s="317">
        <f>Laboratory!R52</f>
        <v>0</v>
      </c>
      <c r="L15" s="317">
        <f>'Midterm 1'!AH52</f>
        <v>0</v>
      </c>
      <c r="M15" s="317">
        <f>'Final Exam'!AI53</f>
        <v>0</v>
      </c>
      <c r="N15" s="283" t="str">
        <f>IF(SUM(H15:M15)=0,"",SUM(H15:M15))</f>
        <v/>
      </c>
      <c r="O15" s="647"/>
    </row>
    <row r="16" spans="1:19" ht="15.75" x14ac:dyDescent="0.25">
      <c r="A16" s="269"/>
      <c r="B16" s="662"/>
      <c r="C16" s="298" t="s">
        <v>384</v>
      </c>
      <c r="D16" s="316">
        <f>'Course Information'!C42</f>
        <v>0.25</v>
      </c>
      <c r="E16" s="303" t="s">
        <v>349</v>
      </c>
      <c r="F16" s="282"/>
      <c r="G16" s="686" t="s">
        <v>385</v>
      </c>
      <c r="H16" s="321" t="str">
        <f>Project!M54</f>
        <v/>
      </c>
      <c r="I16" s="321" t="str">
        <f>Homework!W54</f>
        <v/>
      </c>
      <c r="J16" s="321" t="str">
        <f>Quizzes!R54</f>
        <v/>
      </c>
      <c r="K16" s="321" t="str">
        <f>Laboratory!Q54</f>
        <v/>
      </c>
      <c r="L16" s="321" t="str">
        <f>'Midterm 1'!AG54</f>
        <v/>
      </c>
      <c r="M16" s="321" t="str">
        <f>'Final Exam'!AH55</f>
        <v/>
      </c>
      <c r="N16" s="283" t="str">
        <f t="shared" ref="N16" si="0">IF(N17="","",SUM(H16:M16))</f>
        <v/>
      </c>
      <c r="O16" s="647">
        <f>IF(ISERROR(N16/N17),0,N16/N17)</f>
        <v>0</v>
      </c>
      <c r="R16" t="e">
        <f>N16/N17</f>
        <v>#VALUE!</v>
      </c>
      <c r="S16" t="e">
        <f t="shared" ref="S16:S42" si="1">R16*5/S$13</f>
        <v>#VALUE!</v>
      </c>
    </row>
    <row r="17" spans="1:19" ht="16.5" thickBot="1" x14ac:dyDescent="0.3">
      <c r="A17" s="269"/>
      <c r="B17" s="663"/>
      <c r="C17" s="299" t="s">
        <v>386</v>
      </c>
      <c r="D17" s="316">
        <f>'Course Information'!C43</f>
        <v>0.25</v>
      </c>
      <c r="E17" s="304" t="s">
        <v>351</v>
      </c>
      <c r="F17" s="282"/>
      <c r="G17" s="670"/>
      <c r="H17" s="317">
        <f>Project!N54</f>
        <v>0</v>
      </c>
      <c r="I17" s="317">
        <f>Homework!X54</f>
        <v>0</v>
      </c>
      <c r="J17" s="317">
        <f>Quizzes!S54</f>
        <v>0</v>
      </c>
      <c r="K17" s="317">
        <f>Laboratory!R54</f>
        <v>0</v>
      </c>
      <c r="L17" s="317">
        <f>'Midterm 1'!AH54</f>
        <v>0</v>
      </c>
      <c r="M17" s="317">
        <f>'Final Exam'!AI55</f>
        <v>0</v>
      </c>
      <c r="N17" s="283" t="str">
        <f t="shared" ref="N17" si="2">IF(SUM(H17:M17)=0,"",SUM(H17:M17))</f>
        <v/>
      </c>
      <c r="O17" s="647"/>
    </row>
    <row r="18" spans="1:19" ht="14.25" customHeight="1" x14ac:dyDescent="0.25">
      <c r="A18" s="269"/>
      <c r="B18" s="661" t="s">
        <v>312</v>
      </c>
      <c r="C18" s="312"/>
      <c r="D18" s="313"/>
      <c r="E18" s="305" t="s">
        <v>387</v>
      </c>
      <c r="F18" s="282"/>
      <c r="G18" s="686" t="s">
        <v>388</v>
      </c>
      <c r="H18" s="321" t="str">
        <f>Project!M56</f>
        <v/>
      </c>
      <c r="I18" s="321" t="str">
        <f>Homework!W56</f>
        <v/>
      </c>
      <c r="J18" s="321" t="str">
        <f>Quizzes!R56</f>
        <v/>
      </c>
      <c r="K18" s="321" t="str">
        <f>Laboratory!Q56</f>
        <v/>
      </c>
      <c r="L18" s="321" t="str">
        <f>'Midterm 1'!AG56</f>
        <v/>
      </c>
      <c r="M18" s="321" t="str">
        <f>'Final Exam'!AH57</f>
        <v/>
      </c>
      <c r="N18" s="283" t="str">
        <f t="shared" ref="N18" si="3">IF(N19="","",SUM(H18:M18))</f>
        <v/>
      </c>
      <c r="O18" s="647">
        <f>IF(ISERROR(N18/N19),0,N18/N19)</f>
        <v>0</v>
      </c>
      <c r="R18" t="e">
        <f>N18/N19</f>
        <v>#VALUE!</v>
      </c>
      <c r="S18" t="e">
        <f t="shared" si="1"/>
        <v>#VALUE!</v>
      </c>
    </row>
    <row r="19" spans="1:19" ht="15.75" x14ac:dyDescent="0.25">
      <c r="A19" s="269"/>
      <c r="B19" s="662"/>
      <c r="C19" s="298" t="s">
        <v>353</v>
      </c>
      <c r="D19" s="316">
        <f>'Course Information'!C45</f>
        <v>0.5</v>
      </c>
      <c r="E19" s="302" t="s">
        <v>354</v>
      </c>
      <c r="F19" s="282"/>
      <c r="G19" s="670"/>
      <c r="H19" s="317">
        <f>Project!N56</f>
        <v>0</v>
      </c>
      <c r="I19" s="317">
        <f>Homework!X56</f>
        <v>0</v>
      </c>
      <c r="J19" s="317">
        <f>Quizzes!S56</f>
        <v>0</v>
      </c>
      <c r="K19" s="317">
        <f>Laboratory!R56</f>
        <v>0</v>
      </c>
      <c r="L19" s="317">
        <f>'Midterm 1'!AH56</f>
        <v>0</v>
      </c>
      <c r="M19" s="317">
        <f>'Final Exam'!AI57</f>
        <v>0</v>
      </c>
      <c r="N19" s="283" t="str">
        <f t="shared" ref="N19" si="4">IF(SUM(H19:M19)=0,"",SUM(H19:M19))</f>
        <v/>
      </c>
      <c r="O19" s="647"/>
    </row>
    <row r="20" spans="1:19" ht="19.149999999999999" customHeight="1" thickBot="1" x14ac:dyDescent="0.3">
      <c r="B20" s="663"/>
      <c r="C20" s="299" t="s">
        <v>355</v>
      </c>
      <c r="D20" s="316">
        <f>'Course Information'!C46</f>
        <v>0.5</v>
      </c>
      <c r="E20" s="304" t="s">
        <v>356</v>
      </c>
      <c r="F20" s="282"/>
      <c r="G20" s="686" t="s">
        <v>389</v>
      </c>
      <c r="H20" s="321" t="str">
        <f>Project!M58</f>
        <v/>
      </c>
      <c r="I20" s="321" t="str">
        <f>Homework!W58</f>
        <v/>
      </c>
      <c r="J20" s="321" t="str">
        <f>Quizzes!R58</f>
        <v/>
      </c>
      <c r="K20" s="321" t="str">
        <f>Laboratory!Q58</f>
        <v/>
      </c>
      <c r="L20" s="321" t="str">
        <f>'Midterm 1'!AG58</f>
        <v/>
      </c>
      <c r="M20" s="321" t="str">
        <f>'Final Exam'!AH59</f>
        <v/>
      </c>
      <c r="N20" s="283" t="str">
        <f t="shared" ref="N20" si="5">IF(N21="","",SUM(H20:M20))</f>
        <v/>
      </c>
      <c r="O20" s="647">
        <f>IF(ISERROR(N20/N21),0,N20/N21)</f>
        <v>0</v>
      </c>
      <c r="R20" t="e">
        <f>N20/N21</f>
        <v>#VALUE!</v>
      </c>
      <c r="S20" t="e">
        <f t="shared" si="1"/>
        <v>#VALUE!</v>
      </c>
    </row>
    <row r="21" spans="1:19" ht="14.25" customHeight="1" thickBot="1" x14ac:dyDescent="0.3">
      <c r="B21" s="658" t="s">
        <v>313</v>
      </c>
      <c r="C21" s="656"/>
      <c r="D21" s="657"/>
      <c r="E21" s="301" t="s">
        <v>357</v>
      </c>
      <c r="F21" s="282"/>
      <c r="G21" s="687"/>
      <c r="H21" s="329">
        <f>Project!N58</f>
        <v>0</v>
      </c>
      <c r="I21" s="329">
        <f>Homework!X58</f>
        <v>0</v>
      </c>
      <c r="J21" s="329">
        <f>Quizzes!S58</f>
        <v>0</v>
      </c>
      <c r="K21" s="329">
        <f>Laboratory!R58</f>
        <v>0</v>
      </c>
      <c r="L21" s="329">
        <f>'Midterm 1'!AH58</f>
        <v>0</v>
      </c>
      <c r="M21" s="329">
        <f>'Final Exam'!AI59</f>
        <v>0</v>
      </c>
      <c r="N21" s="331" t="str">
        <f t="shared" ref="N21" si="6">IF(SUM(H21:M21)=0,"",SUM(H21:M21))</f>
        <v/>
      </c>
      <c r="O21" s="648"/>
    </row>
    <row r="22" spans="1:19" x14ac:dyDescent="0.25">
      <c r="B22" s="659"/>
      <c r="C22" s="298" t="s">
        <v>358</v>
      </c>
      <c r="D22" s="316">
        <f>'Course Information'!C48</f>
        <v>0.45</v>
      </c>
      <c r="E22" s="306" t="s">
        <v>390</v>
      </c>
      <c r="F22" s="282"/>
      <c r="G22" s="684" t="s">
        <v>391</v>
      </c>
      <c r="H22" s="330" t="str">
        <f>Project!M60</f>
        <v/>
      </c>
      <c r="I22" s="330" t="str">
        <f>Homework!W60</f>
        <v/>
      </c>
      <c r="J22" s="330" t="str">
        <f>Quizzes!R60</f>
        <v/>
      </c>
      <c r="K22" s="330" t="str">
        <f>Laboratory!Q60</f>
        <v/>
      </c>
      <c r="L22" s="330" t="str">
        <f>'Midterm 1'!AG60</f>
        <v/>
      </c>
      <c r="M22" s="330" t="str">
        <f>'Final Exam'!AH61</f>
        <v/>
      </c>
      <c r="N22" s="323" t="str">
        <f t="shared" ref="N22" si="7">IF(N23="","",SUM(H22:M22))</f>
        <v/>
      </c>
      <c r="O22" s="649">
        <f>IF(ISERROR(N22/N23),0,N22/N23)</f>
        <v>0</v>
      </c>
      <c r="R22" t="e">
        <f>N22/N23</f>
        <v>#VALUE!</v>
      </c>
      <c r="S22" t="e">
        <f t="shared" si="1"/>
        <v>#VALUE!</v>
      </c>
    </row>
    <row r="23" spans="1:19" x14ac:dyDescent="0.25">
      <c r="B23" s="659"/>
      <c r="C23" s="298" t="s">
        <v>359</v>
      </c>
      <c r="D23" s="316">
        <f>'Course Information'!C49</f>
        <v>0.3</v>
      </c>
      <c r="E23" s="306" t="s">
        <v>360</v>
      </c>
      <c r="F23" s="282"/>
      <c r="G23" s="685"/>
      <c r="H23" s="318">
        <f>Project!N60</f>
        <v>0</v>
      </c>
      <c r="I23" s="318">
        <f>Homework!X60</f>
        <v>0</v>
      </c>
      <c r="J23" s="318">
        <f>Quizzes!S60</f>
        <v>0</v>
      </c>
      <c r="K23" s="318">
        <f>Laboratory!R60</f>
        <v>0</v>
      </c>
      <c r="L23" s="318">
        <f>'Midterm 1'!AH60</f>
        <v>0</v>
      </c>
      <c r="M23" s="318">
        <f>'Final Exam'!AI61</f>
        <v>0</v>
      </c>
      <c r="N23" s="284" t="str">
        <f t="shared" ref="N23" si="8">IF(SUM(H23:M23)=0,"",SUM(H23:M23))</f>
        <v/>
      </c>
      <c r="O23" s="650"/>
    </row>
    <row r="24" spans="1:19" ht="15.75" thickBot="1" x14ac:dyDescent="0.3">
      <c r="B24" s="660"/>
      <c r="C24" s="299" t="s">
        <v>392</v>
      </c>
      <c r="D24" s="316">
        <f>'Course Information'!C50</f>
        <v>0.25</v>
      </c>
      <c r="E24" s="307" t="s">
        <v>361</v>
      </c>
      <c r="F24" s="282"/>
      <c r="G24" s="667" t="s">
        <v>393</v>
      </c>
      <c r="H24" s="324" t="str">
        <f>Project!M62</f>
        <v/>
      </c>
      <c r="I24" s="324" t="str">
        <f>Homework!W62</f>
        <v/>
      </c>
      <c r="J24" s="324" t="str">
        <f>Quizzes!R62</f>
        <v/>
      </c>
      <c r="K24" s="324" t="str">
        <f>Laboratory!Q62</f>
        <v/>
      </c>
      <c r="L24" s="324" t="str">
        <f>'Midterm 1'!AG62</f>
        <v/>
      </c>
      <c r="M24" s="324" t="str">
        <f>'Final Exam'!AH63</f>
        <v/>
      </c>
      <c r="N24" s="284" t="str">
        <f t="shared" ref="N24" si="9">IF(N25="","",SUM(H24:M24))</f>
        <v/>
      </c>
      <c r="O24" s="650">
        <f>IF(ISERROR(N24/N25),0,N24/N25)</f>
        <v>0</v>
      </c>
      <c r="R24" t="e">
        <f>N24/N25</f>
        <v>#VALUE!</v>
      </c>
      <c r="S24" t="e">
        <f t="shared" si="1"/>
        <v>#VALUE!</v>
      </c>
    </row>
    <row r="25" spans="1:19" ht="15.75" thickBot="1" x14ac:dyDescent="0.3">
      <c r="B25" s="658" t="s">
        <v>314</v>
      </c>
      <c r="C25" s="312"/>
      <c r="D25" s="313"/>
      <c r="E25" s="305" t="s">
        <v>362</v>
      </c>
      <c r="F25" s="282"/>
      <c r="G25" s="668"/>
      <c r="H25" s="327">
        <f>Project!N62</f>
        <v>0</v>
      </c>
      <c r="I25" s="327">
        <f>Homework!X62</f>
        <v>0</v>
      </c>
      <c r="J25" s="327">
        <f>Quizzes!S62</f>
        <v>0</v>
      </c>
      <c r="K25" s="327">
        <f>Laboratory!R62</f>
        <v>0</v>
      </c>
      <c r="L25" s="327">
        <f>'Midterm 1'!AH62</f>
        <v>0</v>
      </c>
      <c r="M25" s="327">
        <f>'Final Exam'!AI63</f>
        <v>0</v>
      </c>
      <c r="N25" s="332" t="str">
        <f t="shared" ref="N25" si="10">IF(SUM(H25:M25)=0,"",SUM(H25:M25))</f>
        <v/>
      </c>
      <c r="O25" s="651"/>
    </row>
    <row r="26" spans="1:19" x14ac:dyDescent="0.25">
      <c r="B26" s="659"/>
      <c r="C26" s="298" t="s">
        <v>363</v>
      </c>
      <c r="D26" s="316">
        <f>'Course Information'!C52</f>
        <v>0.65</v>
      </c>
      <c r="E26" s="306" t="s">
        <v>364</v>
      </c>
      <c r="F26" s="282"/>
      <c r="G26" s="669" t="s">
        <v>394</v>
      </c>
      <c r="H26" s="328" t="str">
        <f>Project!M64</f>
        <v/>
      </c>
      <c r="I26" s="328" t="str">
        <f>Homework!W64</f>
        <v/>
      </c>
      <c r="J26" s="328" t="str">
        <f>Quizzes!R64</f>
        <v/>
      </c>
      <c r="K26" s="328" t="str">
        <f>Laboratory!Q64</f>
        <v/>
      </c>
      <c r="L26" s="328" t="str">
        <f>'Midterm 1'!AG64</f>
        <v/>
      </c>
      <c r="M26" s="328" t="str">
        <f>'Final Exam'!AH65</f>
        <v/>
      </c>
      <c r="N26" s="322" t="str">
        <f t="shared" ref="N26" si="11">IF(N27="","",SUM(H26:M26))</f>
        <v/>
      </c>
      <c r="O26" s="666">
        <f>IF(ISERROR(N26/N27),0,N26/N27)</f>
        <v>0</v>
      </c>
      <c r="R26" t="e">
        <f>N26/N27</f>
        <v>#VALUE!</v>
      </c>
      <c r="S26" t="e">
        <f t="shared" si="1"/>
        <v>#VALUE!</v>
      </c>
    </row>
    <row r="27" spans="1:19" ht="15.75" thickBot="1" x14ac:dyDescent="0.3">
      <c r="B27" s="660"/>
      <c r="C27" s="299" t="s">
        <v>365</v>
      </c>
      <c r="D27" s="316">
        <f>'Course Information'!C53</f>
        <v>0.35</v>
      </c>
      <c r="E27" s="307" t="s">
        <v>366</v>
      </c>
      <c r="F27" s="282"/>
      <c r="G27" s="670"/>
      <c r="H27" s="317">
        <f>Project!N64</f>
        <v>0</v>
      </c>
      <c r="I27" s="317">
        <f>Homework!X64</f>
        <v>0</v>
      </c>
      <c r="J27" s="317">
        <f>Quizzes!S64</f>
        <v>0</v>
      </c>
      <c r="K27" s="317">
        <f>Laboratory!R64</f>
        <v>0</v>
      </c>
      <c r="L27" s="317">
        <f>'Midterm 1'!AH64</f>
        <v>0</v>
      </c>
      <c r="M27" s="317">
        <f>'Final Exam'!AI65</f>
        <v>0</v>
      </c>
      <c r="N27" s="283" t="str">
        <f t="shared" ref="N27" si="12">IF(SUM(H27:M27)=0,"",SUM(H27:M27))</f>
        <v/>
      </c>
      <c r="O27" s="647"/>
    </row>
    <row r="28" spans="1:19" ht="15" customHeight="1" x14ac:dyDescent="0.25">
      <c r="B28" s="658" t="s">
        <v>315</v>
      </c>
      <c r="C28" s="690"/>
      <c r="D28" s="691"/>
      <c r="E28" s="305" t="s">
        <v>367</v>
      </c>
      <c r="F28" s="282"/>
      <c r="G28" s="686" t="s">
        <v>395</v>
      </c>
      <c r="H28" s="321" t="str">
        <f>Project!M66</f>
        <v/>
      </c>
      <c r="I28" s="321" t="str">
        <f>Homework!W66</f>
        <v/>
      </c>
      <c r="J28" s="321" t="str">
        <f>Quizzes!R66</f>
        <v/>
      </c>
      <c r="K28" s="321" t="str">
        <f>Laboratory!Q66</f>
        <v/>
      </c>
      <c r="L28" s="321" t="str">
        <f>'Midterm 1'!AG66</f>
        <v/>
      </c>
      <c r="M28" s="321" t="str">
        <f>'Final Exam'!AH67</f>
        <v/>
      </c>
      <c r="N28" s="283" t="str">
        <f t="shared" ref="N28" si="13">IF(N29="","",SUM(H28:M28))</f>
        <v/>
      </c>
      <c r="O28" s="647">
        <f>IF(ISERROR(N28/N29),0,N28/N29)</f>
        <v>0</v>
      </c>
      <c r="R28" t="e">
        <f>N28/N29</f>
        <v>#VALUE!</v>
      </c>
      <c r="S28" t="e">
        <f t="shared" si="1"/>
        <v>#VALUE!</v>
      </c>
    </row>
    <row r="29" spans="1:19" ht="15" customHeight="1" x14ac:dyDescent="0.25">
      <c r="B29" s="659"/>
      <c r="C29" s="298" t="s">
        <v>368</v>
      </c>
      <c r="D29" s="316">
        <f>'Course Information'!C55</f>
        <v>0.6</v>
      </c>
      <c r="E29" s="309" t="s">
        <v>369</v>
      </c>
      <c r="F29" s="285"/>
      <c r="G29" s="670"/>
      <c r="H29" s="317">
        <f>Project!N66</f>
        <v>0</v>
      </c>
      <c r="I29" s="317">
        <f>Homework!X66</f>
        <v>0</v>
      </c>
      <c r="J29" s="317">
        <f>Quizzes!S66</f>
        <v>0</v>
      </c>
      <c r="K29" s="317">
        <f>Laboratory!R66</f>
        <v>0</v>
      </c>
      <c r="L29" s="317">
        <f>'Midterm 1'!AH66</f>
        <v>0</v>
      </c>
      <c r="M29" s="317">
        <f>'Final Exam'!AI67</f>
        <v>0</v>
      </c>
      <c r="N29" s="283" t="str">
        <f t="shared" ref="N29" si="14">IF(SUM(H29:M29)=0,"",SUM(H29:M29))</f>
        <v/>
      </c>
      <c r="O29" s="647"/>
    </row>
    <row r="30" spans="1:19" ht="15.75" thickBot="1" x14ac:dyDescent="0.3">
      <c r="B30" s="660"/>
      <c r="C30" s="311" t="s">
        <v>370</v>
      </c>
      <c r="D30" s="316">
        <f>'Course Information'!C56</f>
        <v>0.4</v>
      </c>
      <c r="E30" s="310" t="s">
        <v>371</v>
      </c>
      <c r="F30" s="285"/>
      <c r="G30" s="686" t="s">
        <v>396</v>
      </c>
      <c r="H30" s="321" t="str">
        <f>Project!M68</f>
        <v/>
      </c>
      <c r="I30" s="321" t="str">
        <f>Homework!W68</f>
        <v/>
      </c>
      <c r="J30" s="321" t="str">
        <f>Quizzes!R68</f>
        <v/>
      </c>
      <c r="K30" s="321" t="str">
        <f>Laboratory!Q68</f>
        <v/>
      </c>
      <c r="L30" s="321" t="str">
        <f>'Midterm 1'!AG68</f>
        <v/>
      </c>
      <c r="M30" s="321" t="str">
        <f>'Final Exam'!AH69</f>
        <v/>
      </c>
      <c r="N30" s="283" t="str">
        <f t="shared" ref="N30" si="15">IF(N31="","",SUM(H30:M30))</f>
        <v/>
      </c>
      <c r="O30" s="647">
        <f>IF(ISERROR(N30/N31),0,N30/N31)</f>
        <v>0</v>
      </c>
      <c r="R30" t="e">
        <f>N30/N31</f>
        <v>#VALUE!</v>
      </c>
      <c r="S30" t="e">
        <f t="shared" si="1"/>
        <v>#VALUE!</v>
      </c>
    </row>
    <row r="31" spans="1:19" ht="15" customHeight="1" thickBot="1" x14ac:dyDescent="0.3">
      <c r="B31" s="653" t="s">
        <v>316</v>
      </c>
      <c r="C31" s="656"/>
      <c r="D31" s="657"/>
      <c r="E31" s="308" t="s">
        <v>372</v>
      </c>
      <c r="F31" s="285"/>
      <c r="G31" s="687"/>
      <c r="H31" s="329">
        <f>Project!N68</f>
        <v>0</v>
      </c>
      <c r="I31" s="329">
        <f>Homework!X68</f>
        <v>0</v>
      </c>
      <c r="J31" s="329">
        <f>Quizzes!S68</f>
        <v>0</v>
      </c>
      <c r="K31" s="329">
        <f>Laboratory!R68</f>
        <v>0</v>
      </c>
      <c r="L31" s="329">
        <f>'Midterm 1'!AH68</f>
        <v>0</v>
      </c>
      <c r="M31" s="329">
        <f>'Final Exam'!AI69</f>
        <v>0</v>
      </c>
      <c r="N31" s="331" t="str">
        <f t="shared" ref="N31" si="16">IF(SUM(H31:M31)=0,"",SUM(H31:M31))</f>
        <v/>
      </c>
      <c r="O31" s="648"/>
    </row>
    <row r="32" spans="1:19" x14ac:dyDescent="0.25">
      <c r="B32" s="654"/>
      <c r="C32" s="298" t="s">
        <v>373</v>
      </c>
      <c r="D32" s="316">
        <f>'Course Information'!C58</f>
        <v>0.5</v>
      </c>
      <c r="E32" s="295" t="s">
        <v>374</v>
      </c>
      <c r="F32" s="285"/>
      <c r="G32" s="684" t="s">
        <v>397</v>
      </c>
      <c r="H32" s="330" t="str">
        <f>Project!M70</f>
        <v/>
      </c>
      <c r="I32" s="330" t="str">
        <f>Homework!W70</f>
        <v/>
      </c>
      <c r="J32" s="330" t="str">
        <f>Quizzes!R70</f>
        <v/>
      </c>
      <c r="K32" s="330" t="str">
        <f>Laboratory!Q70</f>
        <v/>
      </c>
      <c r="L32" s="330" t="str">
        <f>'Midterm 1'!AG70</f>
        <v/>
      </c>
      <c r="M32" s="330" t="str">
        <f>'Final Exam'!AH71</f>
        <v/>
      </c>
      <c r="N32" s="323" t="str">
        <f t="shared" ref="N32" si="17">IF(N33="","",SUM(H32:M32))</f>
        <v/>
      </c>
      <c r="O32" s="649">
        <f>IF(ISERROR(N32/N33),0,N32/N33)</f>
        <v>0</v>
      </c>
      <c r="R32" t="e">
        <f>N32/N33</f>
        <v>#VALUE!</v>
      </c>
      <c r="S32" t="e">
        <f t="shared" si="1"/>
        <v>#VALUE!</v>
      </c>
    </row>
    <row r="33" spans="2:19" ht="15.75" thickBot="1" x14ac:dyDescent="0.3">
      <c r="B33" s="655"/>
      <c r="C33" s="299" t="s">
        <v>375</v>
      </c>
      <c r="D33" s="316">
        <f>'Course Information'!C59</f>
        <v>0.5</v>
      </c>
      <c r="E33" s="296" t="s">
        <v>376</v>
      </c>
      <c r="F33" s="285"/>
      <c r="G33" s="685"/>
      <c r="H33" s="318">
        <f>Project!N70</f>
        <v>0</v>
      </c>
      <c r="I33" s="318">
        <f>Homework!X70</f>
        <v>0</v>
      </c>
      <c r="J33" s="318">
        <f>Quizzes!S70</f>
        <v>0</v>
      </c>
      <c r="K33" s="318">
        <f>Laboratory!R70</f>
        <v>0</v>
      </c>
      <c r="L33" s="318">
        <f>'Midterm 1'!AH70</f>
        <v>0</v>
      </c>
      <c r="M33" s="318">
        <f>'Final Exam'!AI71</f>
        <v>0</v>
      </c>
      <c r="N33" s="284" t="str">
        <f t="shared" ref="N33" si="18">IF(SUM(H33:M33)=0,"",SUM(H33:M33))</f>
        <v/>
      </c>
      <c r="O33" s="650"/>
    </row>
    <row r="34" spans="2:19" x14ac:dyDescent="0.25">
      <c r="B34" s="282"/>
      <c r="C34" s="282"/>
      <c r="D34" s="282"/>
      <c r="E34" s="282"/>
      <c r="F34" s="285"/>
      <c r="G34" s="667" t="s">
        <v>398</v>
      </c>
      <c r="H34" s="324" t="str">
        <f>Project!M72</f>
        <v/>
      </c>
      <c r="I34" s="324" t="str">
        <f>Homework!W72</f>
        <v/>
      </c>
      <c r="J34" s="324" t="str">
        <f>Quizzes!R72</f>
        <v/>
      </c>
      <c r="K34" s="324" t="str">
        <f>Laboratory!Q72</f>
        <v/>
      </c>
      <c r="L34" s="324" t="str">
        <f>'Midterm 1'!AG72</f>
        <v/>
      </c>
      <c r="M34" s="324" t="str">
        <f>'Final Exam'!AH73</f>
        <v/>
      </c>
      <c r="N34" s="284" t="str">
        <f t="shared" ref="N34" si="19">IF(N35="","",SUM(H34:M34))</f>
        <v/>
      </c>
      <c r="O34" s="650">
        <f>IF(ISERROR(N34/N35),0,N34/N35)</f>
        <v>0</v>
      </c>
      <c r="R34" t="e">
        <f>N34/N35</f>
        <v>#VALUE!</v>
      </c>
      <c r="S34" t="e">
        <f t="shared" si="1"/>
        <v>#VALUE!</v>
      </c>
    </row>
    <row r="35" spans="2:19" ht="15.75" thickBot="1" x14ac:dyDescent="0.3">
      <c r="B35" s="282"/>
      <c r="C35" s="282"/>
      <c r="D35" s="282"/>
      <c r="E35" s="282"/>
      <c r="F35" s="285"/>
      <c r="G35" s="668"/>
      <c r="H35" s="327">
        <f>Project!N72</f>
        <v>0</v>
      </c>
      <c r="I35" s="327">
        <f>Homework!X72</f>
        <v>0</v>
      </c>
      <c r="J35" s="327">
        <f>Quizzes!S72</f>
        <v>0</v>
      </c>
      <c r="K35" s="327">
        <f>Laboratory!R72</f>
        <v>0</v>
      </c>
      <c r="L35" s="327">
        <f>'Midterm 1'!AH72</f>
        <v>0</v>
      </c>
      <c r="M35" s="327">
        <f>'Final Exam'!AI73</f>
        <v>0</v>
      </c>
      <c r="N35" s="332" t="str">
        <f t="shared" ref="N35" si="20">IF(SUM(H35:M35)=0,"",SUM(H35:M35))</f>
        <v/>
      </c>
      <c r="O35" s="651"/>
    </row>
    <row r="36" spans="2:19" x14ac:dyDescent="0.25">
      <c r="B36" s="282"/>
      <c r="C36" s="282"/>
      <c r="F36" s="285"/>
      <c r="G36" s="669" t="s">
        <v>399</v>
      </c>
      <c r="H36" s="328" t="str">
        <f>Project!M74</f>
        <v/>
      </c>
      <c r="I36" s="328" t="str">
        <f>Homework!W74</f>
        <v/>
      </c>
      <c r="J36" s="328" t="str">
        <f>Quizzes!R74</f>
        <v/>
      </c>
      <c r="K36" s="328" t="str">
        <f>Laboratory!Q74</f>
        <v/>
      </c>
      <c r="L36" s="328" t="str">
        <f>'Midterm 1'!AG74</f>
        <v/>
      </c>
      <c r="M36" s="328" t="str">
        <f>'Final Exam'!AH75</f>
        <v/>
      </c>
      <c r="N36" s="322" t="str">
        <f t="shared" ref="N36" si="21">IF(N37="","",SUM(H36:M36))</f>
        <v/>
      </c>
      <c r="O36" s="666">
        <f>IF(ISERROR(N36/N37),0,N36/N37)</f>
        <v>0</v>
      </c>
      <c r="R36" t="e">
        <f>N36/N37</f>
        <v>#VALUE!</v>
      </c>
      <c r="S36" t="e">
        <f t="shared" si="1"/>
        <v>#VALUE!</v>
      </c>
    </row>
    <row r="37" spans="2:19" x14ac:dyDescent="0.25">
      <c r="B37" s="282"/>
      <c r="C37" s="282"/>
      <c r="F37" s="285"/>
      <c r="G37" s="670"/>
      <c r="H37" s="317">
        <f>Project!N74</f>
        <v>0</v>
      </c>
      <c r="I37" s="317">
        <f>Homework!X74</f>
        <v>0</v>
      </c>
      <c r="J37" s="317">
        <f>Quizzes!S74</f>
        <v>0</v>
      </c>
      <c r="K37" s="317">
        <f>Laboratory!R74</f>
        <v>0</v>
      </c>
      <c r="L37" s="317">
        <f>'Midterm 1'!AH74</f>
        <v>0</v>
      </c>
      <c r="M37" s="317">
        <f>'Final Exam'!AI75</f>
        <v>0</v>
      </c>
      <c r="N37" s="283" t="str">
        <f t="shared" ref="N37" si="22">IF(SUM(H37:M37)=0,"",SUM(H37:M37))</f>
        <v/>
      </c>
      <c r="O37" s="647"/>
    </row>
    <row r="38" spans="2:19" x14ac:dyDescent="0.25">
      <c r="B38" s="282"/>
      <c r="C38" s="282"/>
      <c r="F38" s="282"/>
      <c r="G38" s="686" t="s">
        <v>400</v>
      </c>
      <c r="H38" s="321" t="str">
        <f>Project!M76</f>
        <v/>
      </c>
      <c r="I38" s="321" t="str">
        <f>Homework!W76</f>
        <v/>
      </c>
      <c r="J38" s="321" t="str">
        <f>Quizzes!R76</f>
        <v/>
      </c>
      <c r="K38" s="321" t="str">
        <f>Laboratory!Q76</f>
        <v/>
      </c>
      <c r="L38" s="321" t="str">
        <f>'Midterm 1'!AG76</f>
        <v/>
      </c>
      <c r="M38" s="321" t="str">
        <f>'Final Exam'!AH77</f>
        <v/>
      </c>
      <c r="N38" s="283" t="str">
        <f t="shared" ref="N38" si="23">IF(N39="","",SUM(H38:M38))</f>
        <v/>
      </c>
      <c r="O38" s="647">
        <f>IF(ISERROR(N38/N39),0,N38/N39)</f>
        <v>0</v>
      </c>
      <c r="R38" t="e">
        <f>N38/N39</f>
        <v>#VALUE!</v>
      </c>
      <c r="S38" t="e">
        <f t="shared" si="1"/>
        <v>#VALUE!</v>
      </c>
    </row>
    <row r="39" spans="2:19" ht="15.75" thickBot="1" x14ac:dyDescent="0.3">
      <c r="B39" s="282"/>
      <c r="C39" s="282"/>
      <c r="F39" s="282"/>
      <c r="G39" s="687"/>
      <c r="H39" s="329">
        <f>Project!N76</f>
        <v>0</v>
      </c>
      <c r="I39" s="329">
        <f>Homework!X76</f>
        <v>0</v>
      </c>
      <c r="J39" s="329">
        <f>Quizzes!S76</f>
        <v>0</v>
      </c>
      <c r="K39" s="329">
        <f>Laboratory!R76</f>
        <v>0</v>
      </c>
      <c r="L39" s="329">
        <f>'Midterm 1'!AH76</f>
        <v>0</v>
      </c>
      <c r="M39" s="329">
        <f>'Final Exam'!AI77</f>
        <v>0</v>
      </c>
      <c r="N39" s="331" t="str">
        <f t="shared" ref="N39" si="24">IF(SUM(H39:M39)=0,"",SUM(H39:M39))</f>
        <v/>
      </c>
      <c r="O39" s="648"/>
    </row>
    <row r="40" spans="2:19" x14ac:dyDescent="0.25">
      <c r="B40" s="282"/>
      <c r="C40" s="282"/>
      <c r="F40" s="282"/>
      <c r="G40" s="692" t="s">
        <v>401</v>
      </c>
      <c r="H40" s="330" t="str">
        <f>Project!M78</f>
        <v/>
      </c>
      <c r="I40" s="330" t="str">
        <f>Homework!W78</f>
        <v/>
      </c>
      <c r="J40" s="330" t="str">
        <f>Quizzes!R78</f>
        <v/>
      </c>
      <c r="K40" s="330" t="str">
        <f>Laboratory!Q78</f>
        <v/>
      </c>
      <c r="L40" s="330" t="str">
        <f>'Midterm 1'!AG78</f>
        <v/>
      </c>
      <c r="M40" s="330" t="str">
        <f>'Final Exam'!AH79</f>
        <v/>
      </c>
      <c r="N40" s="323" t="str">
        <f t="shared" ref="N40:N42" si="25">IF(N41="","",SUM(H40:M40))</f>
        <v/>
      </c>
      <c r="O40" s="649">
        <f>IF(ISERROR(N40/N41),0,N40/N41)</f>
        <v>0</v>
      </c>
      <c r="R40" t="e">
        <f>N40/N41</f>
        <v>#VALUE!</v>
      </c>
      <c r="S40" t="e">
        <f t="shared" si="1"/>
        <v>#VALUE!</v>
      </c>
    </row>
    <row r="41" spans="2:19" x14ac:dyDescent="0.25">
      <c r="B41" s="282"/>
      <c r="C41" s="282"/>
      <c r="F41" s="282"/>
      <c r="G41" s="693"/>
      <c r="H41" s="318">
        <f>Project!N78</f>
        <v>0</v>
      </c>
      <c r="I41" s="318">
        <f>Homework!X78</f>
        <v>0</v>
      </c>
      <c r="J41" s="318">
        <f>Quizzes!S78</f>
        <v>0</v>
      </c>
      <c r="K41" s="318">
        <f>Laboratory!R78</f>
        <v>0</v>
      </c>
      <c r="L41" s="318">
        <f>'Midterm 1'!AH78</f>
        <v>0</v>
      </c>
      <c r="M41" s="318">
        <f>'Final Exam'!AI79</f>
        <v>0</v>
      </c>
      <c r="N41" s="284" t="str">
        <f t="shared" ref="N41:N43" si="26">IF(SUM(H41:M41)=0,"",SUM(H41:M41))</f>
        <v/>
      </c>
      <c r="O41" s="650"/>
    </row>
    <row r="42" spans="2:19" x14ac:dyDescent="0.25">
      <c r="B42" s="282"/>
      <c r="C42" s="282"/>
      <c r="F42" s="282"/>
      <c r="G42" s="694" t="s">
        <v>402</v>
      </c>
      <c r="H42" s="324" t="str">
        <f>Project!M80</f>
        <v/>
      </c>
      <c r="I42" s="324" t="str">
        <f>Homework!W80</f>
        <v/>
      </c>
      <c r="J42" s="324" t="str">
        <f>Quizzes!R80</f>
        <v/>
      </c>
      <c r="K42" s="324" t="str">
        <f>Laboratory!Q80</f>
        <v/>
      </c>
      <c r="L42" s="324" t="str">
        <f>'Midterm 1'!AG80</f>
        <v/>
      </c>
      <c r="M42" s="324" t="str">
        <f>'Final Exam'!AH81</f>
        <v/>
      </c>
      <c r="N42" s="284" t="str">
        <f t="shared" si="25"/>
        <v/>
      </c>
      <c r="O42" s="650">
        <f>IF(ISERROR(N42/N43),0,N42/N43)</f>
        <v>0</v>
      </c>
      <c r="R42" t="e">
        <f>N42/N43</f>
        <v>#VALUE!</v>
      </c>
      <c r="S42" t="e">
        <f t="shared" si="1"/>
        <v>#VALUE!</v>
      </c>
    </row>
    <row r="43" spans="2:19" ht="15.75" thickBot="1" x14ac:dyDescent="0.3">
      <c r="B43" s="282"/>
      <c r="C43" s="282"/>
      <c r="F43" s="282"/>
      <c r="G43" s="695"/>
      <c r="H43" s="327">
        <f>Project!N80</f>
        <v>0</v>
      </c>
      <c r="I43" s="327">
        <f>Homework!X80</f>
        <v>0</v>
      </c>
      <c r="J43" s="327">
        <f>Quizzes!S80</f>
        <v>0</v>
      </c>
      <c r="K43" s="327">
        <f>Laboratory!R80</f>
        <v>0</v>
      </c>
      <c r="L43" s="327">
        <f>'Midterm 1'!AH80</f>
        <v>0</v>
      </c>
      <c r="M43" s="327">
        <f>'Final Exam'!AI81</f>
        <v>0</v>
      </c>
      <c r="N43" s="332" t="str">
        <f t="shared" si="26"/>
        <v/>
      </c>
      <c r="O43" s="651"/>
    </row>
    <row r="44" spans="2:19" ht="26.45" customHeight="1" x14ac:dyDescent="0.25"/>
    <row r="45" spans="2:19" ht="26.45" customHeight="1" thickBot="1" x14ac:dyDescent="0.3">
      <c r="G45" s="652" t="s">
        <v>409</v>
      </c>
      <c r="H45" s="652"/>
    </row>
    <row r="46" spans="2:19" ht="26.45" customHeight="1" thickBot="1" x14ac:dyDescent="0.3">
      <c r="G46" s="270" t="s">
        <v>403</v>
      </c>
      <c r="H46" s="271" t="s">
        <v>343</v>
      </c>
      <c r="I46" s="696" t="s">
        <v>344</v>
      </c>
      <c r="J46" s="697"/>
    </row>
    <row r="47" spans="2:19" ht="26.45" customHeight="1" x14ac:dyDescent="0.25">
      <c r="G47" s="272">
        <v>1</v>
      </c>
      <c r="H47" s="273" t="str">
        <f>IF('Course Information'!B10="","",'Course Information'!B10)</f>
        <v/>
      </c>
      <c r="I47" s="274" t="str">
        <f>IF('Course Information'!C10="","",'Course Information'!C10)</f>
        <v/>
      </c>
      <c r="J47" s="275" t="str">
        <f>IF('Course Information'!D10="","",'Course Information'!D10)</f>
        <v/>
      </c>
    </row>
    <row r="48" spans="2:19" ht="26.45" customHeight="1" x14ac:dyDescent="0.25">
      <c r="G48" s="276">
        <v>2</v>
      </c>
      <c r="H48" s="273" t="str">
        <f>IF('Course Information'!B11="","",'Course Information'!B11)</f>
        <v/>
      </c>
      <c r="I48" s="274" t="str">
        <f>IF('Course Information'!C11="","",'Course Information'!C11)</f>
        <v/>
      </c>
      <c r="J48" s="275" t="str">
        <f>IF('Course Information'!D11="","",'Course Information'!D11)</f>
        <v/>
      </c>
    </row>
    <row r="49" spans="7:10" ht="26.45" customHeight="1" x14ac:dyDescent="0.25">
      <c r="G49" s="276">
        <v>3</v>
      </c>
      <c r="H49" s="273" t="str">
        <f>IF('Course Information'!B12="","",'Course Information'!B12)</f>
        <v/>
      </c>
      <c r="I49" s="274" t="str">
        <f>IF('Course Information'!C12="","",'Course Information'!C12)</f>
        <v/>
      </c>
      <c r="J49" s="275" t="str">
        <f>IF('Course Information'!D12="","",'Course Information'!D12)</f>
        <v/>
      </c>
    </row>
    <row r="50" spans="7:10" ht="26.45" customHeight="1" x14ac:dyDescent="0.25">
      <c r="G50" s="276">
        <v>4</v>
      </c>
      <c r="H50" s="273" t="str">
        <f>IF('Course Information'!B13="","",'Course Information'!B13)</f>
        <v/>
      </c>
      <c r="I50" s="274" t="str">
        <f>IF('Course Information'!C13="","",'Course Information'!C13)</f>
        <v/>
      </c>
      <c r="J50" s="275" t="str">
        <f>IF('Course Information'!D13="","",'Course Information'!D13)</f>
        <v/>
      </c>
    </row>
    <row r="51" spans="7:10" ht="26.45" customHeight="1" x14ac:dyDescent="0.25">
      <c r="G51" s="276">
        <v>5</v>
      </c>
      <c r="H51" s="273" t="str">
        <f>IF('Course Information'!B14="","",'Course Information'!B14)</f>
        <v/>
      </c>
      <c r="I51" s="274" t="str">
        <f>IF('Course Information'!C14="","",'Course Information'!C14)</f>
        <v/>
      </c>
      <c r="J51" s="275" t="str">
        <f>IF('Course Information'!D14="","",'Course Information'!D14)</f>
        <v/>
      </c>
    </row>
    <row r="52" spans="7:10" ht="26.45" customHeight="1" x14ac:dyDescent="0.25">
      <c r="G52" s="276">
        <v>6</v>
      </c>
      <c r="H52" s="273" t="str">
        <f>IF('Course Information'!B15="","",'Course Information'!B15)</f>
        <v/>
      </c>
      <c r="I52" s="274" t="str">
        <f>IF('Course Information'!C15="","",'Course Information'!C15)</f>
        <v/>
      </c>
      <c r="J52" s="275" t="str">
        <f>IF('Course Information'!D15="","",'Course Information'!D15)</f>
        <v/>
      </c>
    </row>
    <row r="53" spans="7:10" ht="26.45" customHeight="1" x14ac:dyDescent="0.25">
      <c r="G53" s="276">
        <v>7</v>
      </c>
      <c r="H53" s="273" t="str">
        <f>IF('Course Information'!B16="","",'Course Information'!B16)</f>
        <v/>
      </c>
      <c r="I53" s="274" t="str">
        <f>IF('Course Information'!C16="","",'Course Information'!C16)</f>
        <v/>
      </c>
      <c r="J53" s="275" t="str">
        <f>IF('Course Information'!D16="","",'Course Information'!D16)</f>
        <v/>
      </c>
    </row>
    <row r="54" spans="7:10" ht="26.45" customHeight="1" x14ac:dyDescent="0.25">
      <c r="G54" s="276">
        <v>8</v>
      </c>
      <c r="H54" s="273" t="str">
        <f>IF('Course Information'!B17="","",'Course Information'!B17)</f>
        <v/>
      </c>
      <c r="I54" s="274" t="str">
        <f>IF('Course Information'!C17="","",'Course Information'!C17)</f>
        <v/>
      </c>
      <c r="J54" s="275" t="str">
        <f>IF('Course Information'!D17="","",'Course Information'!D17)</f>
        <v/>
      </c>
    </row>
    <row r="55" spans="7:10" ht="26.45" customHeight="1" x14ac:dyDescent="0.25">
      <c r="G55" s="276">
        <v>9</v>
      </c>
      <c r="H55" s="273" t="str">
        <f>IF('Course Information'!B18="","",'Course Information'!B18)</f>
        <v/>
      </c>
      <c r="I55" s="274" t="str">
        <f>IF('Course Information'!C18="","",'Course Information'!C18)</f>
        <v/>
      </c>
      <c r="J55" s="275" t="str">
        <f>IF('Course Information'!D18="","",'Course Information'!D18)</f>
        <v/>
      </c>
    </row>
    <row r="56" spans="7:10" ht="26.45" customHeight="1" x14ac:dyDescent="0.25">
      <c r="G56" s="276">
        <v>10</v>
      </c>
      <c r="H56" s="273" t="str">
        <f>IF('Course Information'!B19="","",'Course Information'!B19)</f>
        <v/>
      </c>
      <c r="I56" s="274" t="str">
        <f>IF('Course Information'!C19="","",'Course Information'!C19)</f>
        <v/>
      </c>
      <c r="J56" s="275" t="str">
        <f>IF('Course Information'!D19="","",'Course Information'!D19)</f>
        <v/>
      </c>
    </row>
    <row r="57" spans="7:10" ht="26.45" customHeight="1" x14ac:dyDescent="0.25">
      <c r="G57" s="276">
        <v>11</v>
      </c>
      <c r="H57" s="273" t="str">
        <f>IF('Course Information'!B20="","",'Course Information'!B20)</f>
        <v/>
      </c>
      <c r="I57" s="274" t="str">
        <f>IF('Course Information'!C20="","",'Course Information'!C20)</f>
        <v/>
      </c>
      <c r="J57" s="275" t="str">
        <f>IF('Course Information'!D20="","",'Course Information'!D20)</f>
        <v/>
      </c>
    </row>
    <row r="58" spans="7:10" ht="26.45" customHeight="1" thickBot="1" x14ac:dyDescent="0.3">
      <c r="G58" s="277">
        <v>12</v>
      </c>
      <c r="H58" s="273" t="str">
        <f>IF('Course Information'!B21="","",'Course Information'!B21)</f>
        <v/>
      </c>
      <c r="I58" s="274" t="str">
        <f>IF('Course Information'!C21="","",'Course Information'!C21)</f>
        <v/>
      </c>
      <c r="J58" s="275" t="str">
        <f>IF('Course Information'!D21="","",'Course Information'!D21)</f>
        <v/>
      </c>
    </row>
    <row r="59" spans="7:10" ht="26.45" customHeight="1" x14ac:dyDescent="0.25">
      <c r="G59" s="315"/>
      <c r="H59" s="574"/>
      <c r="I59" s="574"/>
      <c r="J59" s="574"/>
    </row>
    <row r="61" spans="7:10" ht="15.75" thickBot="1" x14ac:dyDescent="0.3">
      <c r="G61" s="652" t="s">
        <v>416</v>
      </c>
      <c r="H61" s="652"/>
    </row>
    <row r="62" spans="7:10" x14ac:dyDescent="0.25">
      <c r="G62" s="679" t="s">
        <v>407</v>
      </c>
      <c r="H62" s="673" t="s">
        <v>406</v>
      </c>
      <c r="I62" s="676" t="s">
        <v>405</v>
      </c>
    </row>
    <row r="63" spans="7:10" x14ac:dyDescent="0.25">
      <c r="G63" s="680"/>
      <c r="H63" s="674"/>
      <c r="I63" s="677"/>
    </row>
    <row r="64" spans="7:10" x14ac:dyDescent="0.25">
      <c r="G64" s="681"/>
      <c r="H64" s="675"/>
      <c r="I64" s="678"/>
    </row>
    <row r="65" spans="1:9" x14ac:dyDescent="0.25">
      <c r="G65" s="276">
        <v>1</v>
      </c>
      <c r="H65" s="278" t="str">
        <f>IF(ISERROR(((O14*D14)+(O16*D15)+(O18*D16)+(O20*D17))*100/H$8),"",((O14*D14)+(O16*D15)+(O18*D16)+(O20*D17))*100/H$8)</f>
        <v/>
      </c>
      <c r="I65" s="280" t="str">
        <f t="shared" ref="I65:I70" si="27">IF(ISERROR(H65/20),"NA",(H65/20))</f>
        <v>NA</v>
      </c>
    </row>
    <row r="66" spans="1:9" x14ac:dyDescent="0.25">
      <c r="G66" s="276">
        <v>2</v>
      </c>
      <c r="H66" s="278" t="str">
        <f>IF(ISERROR(((O22*D19)+(O24*D20))*100/H$8),"",((O22*D19)+(O24*D20))*100/H$8)</f>
        <v/>
      </c>
      <c r="I66" s="280" t="str">
        <f t="shared" si="27"/>
        <v>NA</v>
      </c>
    </row>
    <row r="67" spans="1:9" x14ac:dyDescent="0.25">
      <c r="G67" s="276">
        <v>3</v>
      </c>
      <c r="H67" s="278" t="str">
        <f>IF(ISERROR(((O26*D22)+(O28*D23)+(O30*D24))*100/H$8),"",((O26*D22)+(O28*D23)+(O30*D24))*100/H$8)</f>
        <v/>
      </c>
      <c r="I67" s="280" t="str">
        <f t="shared" si="27"/>
        <v>NA</v>
      </c>
    </row>
    <row r="68" spans="1:9" x14ac:dyDescent="0.25">
      <c r="G68" s="276">
        <v>4</v>
      </c>
      <c r="H68" s="278" t="str">
        <f>IF(ISERROR(((O32*D26)+(O34*D27))*100/H$8),"",((O32*D26)+(O34*D27))*100/H$8)</f>
        <v/>
      </c>
      <c r="I68" s="280" t="str">
        <f t="shared" si="27"/>
        <v>NA</v>
      </c>
    </row>
    <row r="69" spans="1:9" x14ac:dyDescent="0.25">
      <c r="G69" s="276">
        <v>5</v>
      </c>
      <c r="H69" s="278" t="str">
        <f>IF(ISERROR(((O36*D29)+(O38*D30))*100/H$8),"",((O36*D29)+(O38*D30))*100/H$8)</f>
        <v/>
      </c>
      <c r="I69" s="280" t="str">
        <f t="shared" si="27"/>
        <v>NA</v>
      </c>
    </row>
    <row r="70" spans="1:9" ht="15.75" thickBot="1" x14ac:dyDescent="0.3">
      <c r="G70" s="277">
        <v>6</v>
      </c>
      <c r="H70" s="279" t="str">
        <f>IF(ISERROR(((O40*D32)+(O42*D33))*100/H$8),"",((O40*D32)+(O42*D33))*100/H$8)</f>
        <v/>
      </c>
      <c r="I70" s="281" t="str">
        <f t="shared" si="27"/>
        <v>NA</v>
      </c>
    </row>
    <row r="75" spans="1:9" x14ac:dyDescent="0.25">
      <c r="A75" s="574"/>
      <c r="C75" s="574"/>
    </row>
    <row r="76" spans="1:9" x14ac:dyDescent="0.25">
      <c r="A76" s="574"/>
      <c r="C76" s="574"/>
    </row>
    <row r="77" spans="1:9" x14ac:dyDescent="0.25">
      <c r="A77" s="574"/>
      <c r="C77" s="574"/>
    </row>
    <row r="78" spans="1:9" x14ac:dyDescent="0.25">
      <c r="A78" s="574"/>
      <c r="C78" s="574"/>
    </row>
    <row r="79" spans="1:9" x14ac:dyDescent="0.25">
      <c r="A79" s="574"/>
      <c r="C79" s="574"/>
    </row>
    <row r="80" spans="1:9" x14ac:dyDescent="0.25">
      <c r="A80" s="574"/>
      <c r="C80" s="574"/>
    </row>
    <row r="81" spans="1:3" x14ac:dyDescent="0.25">
      <c r="A81" s="574"/>
      <c r="C81" s="574"/>
    </row>
    <row r="82" spans="1:3" x14ac:dyDescent="0.25">
      <c r="A82" s="574"/>
      <c r="C82" s="574"/>
    </row>
    <row r="83" spans="1:3" x14ac:dyDescent="0.25">
      <c r="A83" s="574"/>
      <c r="C83" s="574"/>
    </row>
    <row r="84" spans="1:3" x14ac:dyDescent="0.25">
      <c r="A84" s="574"/>
      <c r="C84" s="574"/>
    </row>
    <row r="85" spans="1:3" x14ac:dyDescent="0.25">
      <c r="A85" s="574"/>
      <c r="C85" s="574"/>
    </row>
    <row r="86" spans="1:3" x14ac:dyDescent="0.25">
      <c r="A86" s="574"/>
      <c r="C86" s="574"/>
    </row>
    <row r="87" spans="1:3" x14ac:dyDescent="0.25">
      <c r="A87" s="574"/>
      <c r="C87" s="574"/>
    </row>
  </sheetData>
  <mergeCells count="71">
    <mergeCell ref="I46:J46"/>
    <mergeCell ref="M12:M13"/>
    <mergeCell ref="N12:N13"/>
    <mergeCell ref="H12:H13"/>
    <mergeCell ref="I12:I13"/>
    <mergeCell ref="J12:J13"/>
    <mergeCell ref="K12:K13"/>
    <mergeCell ref="L12:L13"/>
    <mergeCell ref="G45:H45"/>
    <mergeCell ref="G61:H61"/>
    <mergeCell ref="C28:D28"/>
    <mergeCell ref="G28:G29"/>
    <mergeCell ref="G30:G31"/>
    <mergeCell ref="G32:G33"/>
    <mergeCell ref="G38:G39"/>
    <mergeCell ref="G40:G41"/>
    <mergeCell ref="G42:G43"/>
    <mergeCell ref="G2:H2"/>
    <mergeCell ref="B11:E11"/>
    <mergeCell ref="C21:D21"/>
    <mergeCell ref="G22:G23"/>
    <mergeCell ref="G24:G25"/>
    <mergeCell ref="B25:B27"/>
    <mergeCell ref="G26:G27"/>
    <mergeCell ref="G20:G21"/>
    <mergeCell ref="G18:G19"/>
    <mergeCell ref="G16:G17"/>
    <mergeCell ref="G14:G15"/>
    <mergeCell ref="G12:G13"/>
    <mergeCell ref="A86:A87"/>
    <mergeCell ref="C86:C87"/>
    <mergeCell ref="A75:A77"/>
    <mergeCell ref="C75:C77"/>
    <mergeCell ref="H59:J59"/>
    <mergeCell ref="H62:H64"/>
    <mergeCell ref="I62:I64"/>
    <mergeCell ref="A78:A79"/>
    <mergeCell ref="C78:C79"/>
    <mergeCell ref="A80:A81"/>
    <mergeCell ref="C80:C81"/>
    <mergeCell ref="A82:A83"/>
    <mergeCell ref="C82:C83"/>
    <mergeCell ref="A84:A85"/>
    <mergeCell ref="C84:C85"/>
    <mergeCell ref="G62:G64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8:O39"/>
    <mergeCell ref="O40:O41"/>
    <mergeCell ref="O42:O43"/>
    <mergeCell ref="G1:H1"/>
    <mergeCell ref="B31:B33"/>
    <mergeCell ref="C31:D31"/>
    <mergeCell ref="B28:B30"/>
    <mergeCell ref="B13:B17"/>
    <mergeCell ref="C13:D13"/>
    <mergeCell ref="B18:B20"/>
    <mergeCell ref="B21:B24"/>
    <mergeCell ref="O32:O33"/>
    <mergeCell ref="O34:O35"/>
    <mergeCell ref="O36:O37"/>
    <mergeCell ref="G34:G35"/>
    <mergeCell ref="G36:G37"/>
  </mergeCells>
  <conditionalFormatting sqref="I65:I70">
    <cfRule type="cellIs" dxfId="60" priority="1" operator="equal">
      <formula>"NA"</formula>
    </cfRule>
    <cfRule type="cellIs" dxfId="59" priority="2" operator="lessThan">
      <formula>3.5</formula>
    </cfRule>
    <cfRule type="cellIs" dxfId="58" priority="3" operator="greaterThanOrEqual">
      <formula>3.5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AFB-3428-4C01-BE20-A2BFC2847BEC}">
  <sheetPr codeName="Sheet1"/>
  <dimension ref="A1:N71"/>
  <sheetViews>
    <sheetView zoomScale="60" zoomScaleNormal="60" workbookViewId="0">
      <selection activeCell="B53" sqref="B53:E71"/>
    </sheetView>
  </sheetViews>
  <sheetFormatPr defaultRowHeight="15" x14ac:dyDescent="0.25"/>
  <cols>
    <col min="1" max="1" width="19.140625" customWidth="1"/>
    <col min="2" max="2" width="135" bestFit="1" customWidth="1"/>
    <col min="3" max="3" width="42.5703125" customWidth="1"/>
    <col min="4" max="4" width="33.5703125" customWidth="1"/>
    <col min="5" max="5" width="31" bestFit="1" customWidth="1"/>
    <col min="6" max="6" width="42.85546875" customWidth="1"/>
  </cols>
  <sheetData>
    <row r="1" spans="1:14" ht="23.45" customHeight="1" x14ac:dyDescent="0.25">
      <c r="B1" s="431" t="s">
        <v>429</v>
      </c>
      <c r="C1" s="430"/>
    </row>
    <row r="3" spans="1:14" ht="15.75" thickBot="1" x14ac:dyDescent="0.3">
      <c r="A3" s="652" t="s">
        <v>414</v>
      </c>
      <c r="B3" s="652"/>
    </row>
    <row r="4" spans="1:14" ht="16.5" thickBot="1" x14ac:dyDescent="0.3">
      <c r="A4" s="682" t="s">
        <v>342</v>
      </c>
      <c r="B4" s="683"/>
    </row>
    <row r="5" spans="1:14" ht="15.75" x14ac:dyDescent="0.25">
      <c r="A5" s="286" t="str">
        <f>'ABET SO Analysis'!G3</f>
        <v>Program</v>
      </c>
      <c r="B5" s="287" t="str">
        <f>'ABET SO Analysis'!H3</f>
        <v>EMET</v>
      </c>
    </row>
    <row r="6" spans="1:14" ht="15.75" x14ac:dyDescent="0.25">
      <c r="A6" s="288" t="str">
        <f>'ABET SO Analysis'!G4</f>
        <v>Course ID</v>
      </c>
      <c r="B6" s="289" t="str">
        <f>'ABET SO Analysis'!H4</f>
        <v/>
      </c>
    </row>
    <row r="7" spans="1:14" ht="31.5" x14ac:dyDescent="0.25">
      <c r="A7" s="432" t="str">
        <f>'ABET SO Analysis'!G5</f>
        <v>Semester / Academic Year</v>
      </c>
      <c r="B7" s="289" t="str">
        <f>'ABET SO Analysis'!H5</f>
        <v/>
      </c>
    </row>
    <row r="8" spans="1:14" ht="15.75" x14ac:dyDescent="0.25">
      <c r="A8" s="288" t="str">
        <f>'ABET SO Analysis'!G6</f>
        <v>Instructor Name</v>
      </c>
      <c r="B8" s="289" t="str">
        <f>'ABET SO Analysis'!H6</f>
        <v/>
      </c>
    </row>
    <row r="9" spans="1:14" ht="15.75" x14ac:dyDescent="0.25">
      <c r="A9" s="288" t="str">
        <f>'ABET SO Analysis'!G7</f>
        <v>CRN</v>
      </c>
      <c r="B9" s="289" t="str">
        <f>'ABET SO Analysis'!H7</f>
        <v/>
      </c>
    </row>
    <row r="10" spans="1:14" ht="15.75" x14ac:dyDescent="0.25">
      <c r="A10" s="288" t="str">
        <f>'ABET SO Analysis'!G8</f>
        <v xml:space="preserve">Number of Students </v>
      </c>
      <c r="B10" s="289" t="str">
        <f>'ABET SO Analysis'!H8</f>
        <v/>
      </c>
    </row>
    <row r="13" spans="1:14" ht="15.75" thickBot="1" x14ac:dyDescent="0.3">
      <c r="A13" s="652" t="s">
        <v>425</v>
      </c>
      <c r="B13" s="652"/>
    </row>
    <row r="14" spans="1:14" ht="21.95" customHeight="1" thickBot="1" x14ac:dyDescent="0.3">
      <c r="A14" s="403" t="s">
        <v>379</v>
      </c>
      <c r="B14" s="403" t="s">
        <v>381</v>
      </c>
      <c r="C14" s="403"/>
      <c r="D14" s="408" t="s">
        <v>428</v>
      </c>
      <c r="E14" s="408" t="s">
        <v>427</v>
      </c>
      <c r="F14" s="410" t="s">
        <v>422</v>
      </c>
      <c r="G14" s="710" t="s">
        <v>423</v>
      </c>
      <c r="H14" s="711"/>
      <c r="I14" s="711"/>
      <c r="J14" s="711"/>
      <c r="K14" s="711"/>
      <c r="L14" s="711"/>
      <c r="M14" s="711"/>
      <c r="N14" s="712"/>
    </row>
    <row r="15" spans="1:14" ht="27.95" customHeight="1" thickBot="1" x14ac:dyDescent="0.3">
      <c r="A15" s="404"/>
      <c r="B15" s="404"/>
      <c r="C15" s="403"/>
      <c r="D15" s="409"/>
      <c r="E15" s="409" t="str">
        <f>'ABET SO Analysis'!H5</f>
        <v/>
      </c>
      <c r="F15" s="411" t="str">
        <f>E15</f>
        <v/>
      </c>
      <c r="G15" s="713" t="str">
        <f>E15</f>
        <v/>
      </c>
      <c r="H15" s="714"/>
      <c r="I15" s="714"/>
      <c r="J15" s="714"/>
      <c r="K15" s="714"/>
      <c r="L15" s="714"/>
      <c r="M15" s="714"/>
      <c r="N15" s="715"/>
    </row>
    <row r="16" spans="1:14" ht="51.95" customHeight="1" thickBot="1" x14ac:dyDescent="0.3">
      <c r="A16" s="397"/>
      <c r="B16" s="434" t="s">
        <v>345</v>
      </c>
      <c r="C16" s="398" t="s">
        <v>421</v>
      </c>
      <c r="D16" s="399"/>
      <c r="E16" s="399"/>
      <c r="F16" s="399"/>
      <c r="G16" s="716"/>
      <c r="H16" s="717"/>
      <c r="I16" s="717"/>
      <c r="J16" s="717"/>
      <c r="K16" s="717"/>
      <c r="L16" s="717"/>
      <c r="M16" s="717"/>
      <c r="N16" s="718"/>
    </row>
    <row r="17" spans="1:14" x14ac:dyDescent="0.25">
      <c r="A17" s="338" t="s">
        <v>346</v>
      </c>
      <c r="B17" s="433" t="s">
        <v>347</v>
      </c>
      <c r="C17" s="426">
        <f>'Course Information'!C40</f>
        <v>0.25</v>
      </c>
      <c r="D17" s="400"/>
      <c r="E17" s="405" t="str">
        <f>IF(ISERROR('ABET SO Analysis'!R14),"",'ABET SO Analysis'!S14)</f>
        <v/>
      </c>
      <c r="F17" s="412" t="str">
        <f>IF(E17&lt;3.5,"Requires Justification","NA")</f>
        <v>NA</v>
      </c>
      <c r="G17" s="719"/>
      <c r="H17" s="720"/>
      <c r="I17" s="720"/>
      <c r="J17" s="720"/>
      <c r="K17" s="720"/>
      <c r="L17" s="720"/>
      <c r="M17" s="720"/>
      <c r="N17" s="721"/>
    </row>
    <row r="18" spans="1:14" x14ac:dyDescent="0.25">
      <c r="A18" s="338" t="s">
        <v>350</v>
      </c>
      <c r="B18" s="302" t="s">
        <v>348</v>
      </c>
      <c r="C18" s="427">
        <f>'Course Information'!C41</f>
        <v>0.25</v>
      </c>
      <c r="D18" s="401"/>
      <c r="E18" s="405" t="str">
        <f>IF(ISERROR('ABET SO Analysis'!R16),"",'ABET SO Analysis'!S16)</f>
        <v/>
      </c>
      <c r="F18" s="412" t="str">
        <f t="shared" ref="F18:F20" si="0">IF(E18&lt;3.5,"Requires Justification","NA")</f>
        <v>NA</v>
      </c>
      <c r="G18" s="704"/>
      <c r="H18" s="705"/>
      <c r="I18" s="705"/>
      <c r="J18" s="705"/>
      <c r="K18" s="705"/>
      <c r="L18" s="705"/>
      <c r="M18" s="705"/>
      <c r="N18" s="706"/>
    </row>
    <row r="19" spans="1:14" x14ac:dyDescent="0.25">
      <c r="A19" s="338" t="s">
        <v>384</v>
      </c>
      <c r="B19" s="303" t="s">
        <v>349</v>
      </c>
      <c r="C19" s="427">
        <f>'Course Information'!C42</f>
        <v>0.25</v>
      </c>
      <c r="D19" s="401"/>
      <c r="E19" s="405" t="str">
        <f>IF(ISERROR('ABET SO Analysis'!R18),"",'ABET SO Analysis'!S18)</f>
        <v/>
      </c>
      <c r="F19" s="412" t="str">
        <f t="shared" si="0"/>
        <v>NA</v>
      </c>
      <c r="G19" s="704"/>
      <c r="H19" s="705"/>
      <c r="I19" s="705"/>
      <c r="J19" s="705"/>
      <c r="K19" s="705"/>
      <c r="L19" s="705"/>
      <c r="M19" s="705"/>
      <c r="N19" s="706"/>
    </row>
    <row r="20" spans="1:14" ht="15.75" thickBot="1" x14ac:dyDescent="0.3">
      <c r="A20" s="416" t="s">
        <v>386</v>
      </c>
      <c r="B20" s="417" t="s">
        <v>351</v>
      </c>
      <c r="C20" s="428">
        <f>'Course Information'!C43</f>
        <v>0.25</v>
      </c>
      <c r="D20" s="418"/>
      <c r="E20" s="419" t="str">
        <f>IF(ISERROR('ABET SO Analysis'!R20),"",'ABET SO Analysis'!S20)</f>
        <v/>
      </c>
      <c r="F20" s="412" t="str">
        <f t="shared" si="0"/>
        <v>NA</v>
      </c>
      <c r="G20" s="722"/>
      <c r="H20" s="723"/>
      <c r="I20" s="723"/>
      <c r="J20" s="723"/>
      <c r="K20" s="723"/>
      <c r="L20" s="723"/>
      <c r="M20" s="723"/>
      <c r="N20" s="724"/>
    </row>
    <row r="21" spans="1:14" ht="40.5" customHeight="1" x14ac:dyDescent="0.25">
      <c r="A21" s="421"/>
      <c r="B21" s="305" t="s">
        <v>387</v>
      </c>
      <c r="C21" s="422"/>
      <c r="D21" s="423"/>
      <c r="E21" s="424"/>
      <c r="F21" s="424"/>
      <c r="G21" s="707"/>
      <c r="H21" s="708"/>
      <c r="I21" s="708"/>
      <c r="J21" s="708"/>
      <c r="K21" s="708"/>
      <c r="L21" s="708"/>
      <c r="M21" s="708"/>
      <c r="N21" s="709"/>
    </row>
    <row r="22" spans="1:14" x14ac:dyDescent="0.25">
      <c r="A22" s="338" t="s">
        <v>353</v>
      </c>
      <c r="B22" s="302" t="s">
        <v>354</v>
      </c>
      <c r="C22" s="427">
        <f>'Course Information'!C45</f>
        <v>0.5</v>
      </c>
      <c r="D22" s="401"/>
      <c r="E22" s="406" t="str">
        <f>IF(ISERROR('ABET SO Analysis'!R22),"",'ABET SO Analysis'!S22)</f>
        <v/>
      </c>
      <c r="F22" s="412" t="str">
        <f>IF(E22&lt;3.5,"Requires Justification","NA")</f>
        <v>NA</v>
      </c>
      <c r="G22" s="704"/>
      <c r="H22" s="705"/>
      <c r="I22" s="705"/>
      <c r="J22" s="705"/>
      <c r="K22" s="705"/>
      <c r="L22" s="705"/>
      <c r="M22" s="705"/>
      <c r="N22" s="706"/>
    </row>
    <row r="23" spans="1:14" ht="15.75" thickBot="1" x14ac:dyDescent="0.3">
      <c r="A23" s="340" t="s">
        <v>355</v>
      </c>
      <c r="B23" s="304" t="s">
        <v>356</v>
      </c>
      <c r="C23" s="429">
        <f>'Course Information'!C46</f>
        <v>0.5</v>
      </c>
      <c r="D23" s="402"/>
      <c r="E23" s="407" t="str">
        <f>IF(ISERROR('ABET SO Analysis'!R24),"",'ABET SO Analysis'!S24)</f>
        <v/>
      </c>
      <c r="F23" s="412" t="str">
        <f>IF(E23&lt;3.5,"Requires Justification","NA")</f>
        <v>NA</v>
      </c>
      <c r="G23" s="701"/>
      <c r="H23" s="702"/>
      <c r="I23" s="702"/>
      <c r="J23" s="702"/>
      <c r="K23" s="702"/>
      <c r="L23" s="702"/>
      <c r="M23" s="702"/>
      <c r="N23" s="703"/>
    </row>
    <row r="24" spans="1:14" ht="28.5" x14ac:dyDescent="0.25">
      <c r="A24" s="421"/>
      <c r="B24" s="301" t="s">
        <v>357</v>
      </c>
      <c r="C24" s="425"/>
      <c r="D24" s="423"/>
      <c r="E24" s="424"/>
      <c r="F24" s="424"/>
      <c r="G24" s="707"/>
      <c r="H24" s="708"/>
      <c r="I24" s="708"/>
      <c r="J24" s="708"/>
      <c r="K24" s="708"/>
      <c r="L24" s="708"/>
      <c r="M24" s="708"/>
      <c r="N24" s="709"/>
    </row>
    <row r="25" spans="1:14" x14ac:dyDescent="0.25">
      <c r="A25" s="338" t="s">
        <v>358</v>
      </c>
      <c r="B25" s="306" t="s">
        <v>390</v>
      </c>
      <c r="C25" s="427">
        <f>'Course Information'!C48</f>
        <v>0.45</v>
      </c>
      <c r="D25" s="401"/>
      <c r="E25" s="406" t="str">
        <f>IF(ISERROR('ABET SO Analysis'!R26),"",'ABET SO Analysis'!S26)</f>
        <v/>
      </c>
      <c r="F25" s="412" t="str">
        <f>IF(E25&lt;3.5,"Requires Justification","NA")</f>
        <v>NA</v>
      </c>
      <c r="G25" s="704"/>
      <c r="H25" s="705"/>
      <c r="I25" s="705"/>
      <c r="J25" s="705"/>
      <c r="K25" s="705"/>
      <c r="L25" s="705"/>
      <c r="M25" s="705"/>
      <c r="N25" s="706"/>
    </row>
    <row r="26" spans="1:14" x14ac:dyDescent="0.25">
      <c r="A26" s="338" t="s">
        <v>359</v>
      </c>
      <c r="B26" s="306" t="s">
        <v>360</v>
      </c>
      <c r="C26" s="427">
        <f>'Course Information'!C49</f>
        <v>0.3</v>
      </c>
      <c r="D26" s="401"/>
      <c r="E26" s="406" t="str">
        <f>IF(ISERROR('ABET SO Analysis'!R28),"",'ABET SO Analysis'!S28)</f>
        <v/>
      </c>
      <c r="F26" s="412" t="str">
        <f t="shared" ref="F26:F27" si="1">IF(E26&lt;3.5,"Requires Justification","NA")</f>
        <v>NA</v>
      </c>
      <c r="G26" s="704"/>
      <c r="H26" s="705"/>
      <c r="I26" s="705"/>
      <c r="J26" s="705"/>
      <c r="K26" s="705"/>
      <c r="L26" s="705"/>
      <c r="M26" s="705"/>
      <c r="N26" s="706"/>
    </row>
    <row r="27" spans="1:14" ht="15.75" thickBot="1" x14ac:dyDescent="0.3">
      <c r="A27" s="340" t="s">
        <v>392</v>
      </c>
      <c r="B27" s="307" t="s">
        <v>361</v>
      </c>
      <c r="C27" s="429">
        <f>'Course Information'!C50</f>
        <v>0.25</v>
      </c>
      <c r="D27" s="402"/>
      <c r="E27" s="407" t="str">
        <f>IF(ISERROR('ABET SO Analysis'!R30),"",'ABET SO Analysis'!S30)</f>
        <v/>
      </c>
      <c r="F27" s="412" t="str">
        <f t="shared" si="1"/>
        <v>NA</v>
      </c>
      <c r="G27" s="701"/>
      <c r="H27" s="702"/>
      <c r="I27" s="702"/>
      <c r="J27" s="702"/>
      <c r="K27" s="702"/>
      <c r="L27" s="702"/>
      <c r="M27" s="702"/>
      <c r="N27" s="703"/>
    </row>
    <row r="28" spans="1:14" ht="37.5" customHeight="1" x14ac:dyDescent="0.25">
      <c r="A28" s="421"/>
      <c r="B28" s="305" t="s">
        <v>362</v>
      </c>
      <c r="C28" s="425"/>
      <c r="D28" s="423"/>
      <c r="E28" s="424"/>
      <c r="F28" s="424"/>
      <c r="G28" s="707"/>
      <c r="H28" s="708"/>
      <c r="I28" s="708"/>
      <c r="J28" s="708"/>
      <c r="K28" s="708"/>
      <c r="L28" s="708"/>
      <c r="M28" s="708"/>
      <c r="N28" s="709"/>
    </row>
    <row r="29" spans="1:14" x14ac:dyDescent="0.25">
      <c r="A29" s="338" t="s">
        <v>363</v>
      </c>
      <c r="B29" s="306" t="s">
        <v>364</v>
      </c>
      <c r="C29" s="427">
        <f>'Course Information'!C52</f>
        <v>0.65</v>
      </c>
      <c r="D29" s="401"/>
      <c r="E29" s="406" t="str">
        <f>IF(ISERROR('ABET SO Analysis'!R32),"",'ABET SO Analysis'!S32)</f>
        <v/>
      </c>
      <c r="F29" s="412" t="str">
        <f>IF(E29&lt;3.5,"Requires Justification","NA")</f>
        <v>NA</v>
      </c>
      <c r="G29" s="704"/>
      <c r="H29" s="705"/>
      <c r="I29" s="705"/>
      <c r="J29" s="705"/>
      <c r="K29" s="705"/>
      <c r="L29" s="705"/>
      <c r="M29" s="705"/>
      <c r="N29" s="706"/>
    </row>
    <row r="30" spans="1:14" ht="15.75" thickBot="1" x14ac:dyDescent="0.3">
      <c r="A30" s="340" t="s">
        <v>365</v>
      </c>
      <c r="B30" s="307" t="s">
        <v>366</v>
      </c>
      <c r="C30" s="429">
        <f>'Course Information'!C53</f>
        <v>0.35</v>
      </c>
      <c r="D30" s="402"/>
      <c r="E30" s="407" t="str">
        <f>IF(ISERROR('ABET SO Analysis'!R34),"",'ABET SO Analysis'!S34)</f>
        <v/>
      </c>
      <c r="F30" s="413" t="str">
        <f>IF(E30&lt;3.5,"Requires Justification","NA")</f>
        <v>NA</v>
      </c>
      <c r="G30" s="701"/>
      <c r="H30" s="702"/>
      <c r="I30" s="702"/>
      <c r="J30" s="702"/>
      <c r="K30" s="702"/>
      <c r="L30" s="702"/>
      <c r="M30" s="702"/>
      <c r="N30" s="703"/>
    </row>
    <row r="31" spans="1:14" x14ac:dyDescent="0.25">
      <c r="A31" s="438"/>
      <c r="B31" s="439" t="s">
        <v>367</v>
      </c>
      <c r="C31" s="420"/>
      <c r="D31" s="414"/>
      <c r="E31" s="415"/>
      <c r="F31" s="415"/>
      <c r="G31" s="725"/>
      <c r="H31" s="726"/>
      <c r="I31" s="726"/>
      <c r="J31" s="726"/>
      <c r="K31" s="726"/>
      <c r="L31" s="726"/>
      <c r="M31" s="726"/>
      <c r="N31" s="726"/>
    </row>
    <row r="32" spans="1:14" ht="15.95" customHeight="1" x14ac:dyDescent="0.25">
      <c r="A32" s="338" t="s">
        <v>368</v>
      </c>
      <c r="B32" s="435" t="s">
        <v>369</v>
      </c>
      <c r="C32" s="436">
        <f>'Course Information'!C55</f>
        <v>0.6</v>
      </c>
      <c r="D32" s="400"/>
      <c r="E32" s="405" t="str">
        <f>IF(ISERROR('ABET SO Analysis'!R36),"",'ABET SO Analysis'!S36)</f>
        <v/>
      </c>
      <c r="F32" s="437" t="str">
        <f>IF(E32&lt;3.5,"Requires Justification","NA")</f>
        <v>NA</v>
      </c>
      <c r="G32" s="719"/>
      <c r="H32" s="720"/>
      <c r="I32" s="720"/>
      <c r="J32" s="720"/>
      <c r="K32" s="720"/>
      <c r="L32" s="720"/>
      <c r="M32" s="720"/>
      <c r="N32" s="721"/>
    </row>
    <row r="33" spans="1:14" ht="15.75" thickBot="1" x14ac:dyDescent="0.3">
      <c r="A33" s="340" t="s">
        <v>370</v>
      </c>
      <c r="B33" s="310" t="s">
        <v>371</v>
      </c>
      <c r="C33" s="429">
        <f>'Course Information'!C56</f>
        <v>0.4</v>
      </c>
      <c r="D33" s="402"/>
      <c r="E33" s="407" t="str">
        <f>IF(ISERROR('ABET SO Analysis'!R38),"",'ABET SO Analysis'!S38)</f>
        <v/>
      </c>
      <c r="F33" s="413" t="str">
        <f>IF(E33&lt;3.5,"Requires Justification","NA")</f>
        <v>NA</v>
      </c>
      <c r="G33" s="701"/>
      <c r="H33" s="702"/>
      <c r="I33" s="702"/>
      <c r="J33" s="702"/>
      <c r="K33" s="702"/>
      <c r="L33" s="702"/>
      <c r="M33" s="702"/>
      <c r="N33" s="703"/>
    </row>
    <row r="34" spans="1:14" x14ac:dyDescent="0.25">
      <c r="A34" s="421"/>
      <c r="B34" s="440" t="s">
        <v>372</v>
      </c>
      <c r="C34" s="425"/>
      <c r="D34" s="423"/>
      <c r="E34" s="424"/>
      <c r="F34" s="424"/>
      <c r="G34" s="707"/>
      <c r="H34" s="708"/>
      <c r="I34" s="708"/>
      <c r="J34" s="708"/>
      <c r="K34" s="708"/>
      <c r="L34" s="708"/>
      <c r="M34" s="708"/>
      <c r="N34" s="709"/>
    </row>
    <row r="35" spans="1:14" x14ac:dyDescent="0.25">
      <c r="A35" s="338" t="s">
        <v>373</v>
      </c>
      <c r="B35" s="306" t="s">
        <v>374</v>
      </c>
      <c r="C35" s="427">
        <f>'Course Information'!C58</f>
        <v>0.5</v>
      </c>
      <c r="D35" s="401"/>
      <c r="E35" s="406" t="str">
        <f>IF(ISERROR('ABET SO Analysis'!R40),"",'ABET SO Analysis'!S40)</f>
        <v/>
      </c>
      <c r="F35" s="412" t="str">
        <f>IF(E35&lt;3.5,"Requires Justification","NA")</f>
        <v>NA</v>
      </c>
      <c r="G35" s="704"/>
      <c r="H35" s="705"/>
      <c r="I35" s="705"/>
      <c r="J35" s="705"/>
      <c r="K35" s="705"/>
      <c r="L35" s="705"/>
      <c r="M35" s="705"/>
      <c r="N35" s="706"/>
    </row>
    <row r="36" spans="1:14" ht="15.75" thickBot="1" x14ac:dyDescent="0.3">
      <c r="A36" s="340" t="s">
        <v>375</v>
      </c>
      <c r="B36" s="310" t="s">
        <v>376</v>
      </c>
      <c r="C36" s="429">
        <f>'Course Information'!C59</f>
        <v>0.5</v>
      </c>
      <c r="D36" s="402"/>
      <c r="E36" s="407" t="str">
        <f>IF(ISERROR('ABET SO Analysis'!R42),"",'ABET SO Analysis'!S42)</f>
        <v/>
      </c>
      <c r="F36" s="413" t="str">
        <f>IF(E36&lt;3.5,"Requires Justification","NA")</f>
        <v>NA</v>
      </c>
      <c r="G36" s="701"/>
      <c r="H36" s="702"/>
      <c r="I36" s="702"/>
      <c r="J36" s="702"/>
      <c r="K36" s="702"/>
      <c r="L36" s="702"/>
      <c r="M36" s="702"/>
      <c r="N36" s="703"/>
    </row>
    <row r="38" spans="1:14" ht="15.75" thickBot="1" x14ac:dyDescent="0.3">
      <c r="B38" s="652" t="s">
        <v>426</v>
      </c>
      <c r="C38" s="652"/>
    </row>
    <row r="39" spans="1:14" ht="32.1" customHeight="1" thickBot="1" x14ac:dyDescent="0.3">
      <c r="B39" s="473" t="s">
        <v>468</v>
      </c>
      <c r="C39" s="739" t="s">
        <v>469</v>
      </c>
      <c r="D39" s="739"/>
      <c r="E39" s="740"/>
    </row>
    <row r="40" spans="1:14" x14ac:dyDescent="0.25">
      <c r="B40" s="474"/>
      <c r="C40" s="741"/>
      <c r="D40" s="741"/>
      <c r="E40" s="742"/>
    </row>
    <row r="41" spans="1:14" x14ac:dyDescent="0.25">
      <c r="B41" s="475"/>
      <c r="C41" s="743"/>
      <c r="D41" s="743"/>
      <c r="E41" s="744"/>
    </row>
    <row r="42" spans="1:14" x14ac:dyDescent="0.25">
      <c r="B42" s="475"/>
      <c r="C42" s="743"/>
      <c r="D42" s="743"/>
      <c r="E42" s="744"/>
    </row>
    <row r="43" spans="1:14" x14ac:dyDescent="0.25">
      <c r="B43" s="475"/>
      <c r="C43" s="743"/>
      <c r="D43" s="743"/>
      <c r="E43" s="744"/>
    </row>
    <row r="44" spans="1:14" x14ac:dyDescent="0.25">
      <c r="B44" s="476"/>
      <c r="C44" s="750"/>
      <c r="D44" s="699"/>
      <c r="E44" s="700"/>
    </row>
    <row r="45" spans="1:14" ht="15.75" thickBot="1" x14ac:dyDescent="0.3">
      <c r="B45" s="476"/>
      <c r="C45" s="745"/>
      <c r="D45" s="745"/>
      <c r="E45" s="746"/>
    </row>
    <row r="46" spans="1:14" ht="30.95" customHeight="1" thickBot="1" x14ac:dyDescent="0.3">
      <c r="B46" s="747" t="s">
        <v>470</v>
      </c>
      <c r="C46" s="748"/>
      <c r="D46" s="748"/>
      <c r="E46" s="749"/>
    </row>
    <row r="47" spans="1:14" x14ac:dyDescent="0.25">
      <c r="B47" s="751"/>
      <c r="C47" s="752"/>
      <c r="D47" s="752"/>
      <c r="E47" s="753"/>
    </row>
    <row r="48" spans="1:14" x14ac:dyDescent="0.25">
      <c r="B48" s="698"/>
      <c r="C48" s="699"/>
      <c r="D48" s="699"/>
      <c r="E48" s="700"/>
    </row>
    <row r="49" spans="2:5" x14ac:dyDescent="0.25">
      <c r="B49" s="698"/>
      <c r="C49" s="699"/>
      <c r="D49" s="699"/>
      <c r="E49" s="700"/>
    </row>
    <row r="50" spans="2:5" x14ac:dyDescent="0.25">
      <c r="B50" s="698"/>
      <c r="C50" s="699"/>
      <c r="D50" s="699"/>
      <c r="E50" s="700"/>
    </row>
    <row r="51" spans="2:5" ht="15.75" thickBot="1" x14ac:dyDescent="0.3">
      <c r="B51" s="736"/>
      <c r="C51" s="737"/>
      <c r="D51" s="737"/>
      <c r="E51" s="738"/>
    </row>
    <row r="52" spans="2:5" ht="15.75" thickBot="1" x14ac:dyDescent="0.3"/>
    <row r="53" spans="2:5" x14ac:dyDescent="0.25">
      <c r="B53" s="727" t="s">
        <v>471</v>
      </c>
      <c r="C53" s="728"/>
      <c r="D53" s="728"/>
      <c r="E53" s="729"/>
    </row>
    <row r="54" spans="2:5" x14ac:dyDescent="0.25">
      <c r="B54" s="730"/>
      <c r="C54" s="731"/>
      <c r="D54" s="731"/>
      <c r="E54" s="732"/>
    </row>
    <row r="55" spans="2:5" x14ac:dyDescent="0.25">
      <c r="B55" s="730"/>
      <c r="C55" s="731"/>
      <c r="D55" s="731"/>
      <c r="E55" s="732"/>
    </row>
    <row r="56" spans="2:5" x14ac:dyDescent="0.25">
      <c r="B56" s="730"/>
      <c r="C56" s="731"/>
      <c r="D56" s="731"/>
      <c r="E56" s="732"/>
    </row>
    <row r="57" spans="2:5" x14ac:dyDescent="0.25">
      <c r="B57" s="730"/>
      <c r="C57" s="731"/>
      <c r="D57" s="731"/>
      <c r="E57" s="732"/>
    </row>
    <row r="58" spans="2:5" x14ac:dyDescent="0.25">
      <c r="B58" s="730"/>
      <c r="C58" s="731"/>
      <c r="D58" s="731"/>
      <c r="E58" s="732"/>
    </row>
    <row r="59" spans="2:5" x14ac:dyDescent="0.25">
      <c r="B59" s="730"/>
      <c r="C59" s="731"/>
      <c r="D59" s="731"/>
      <c r="E59" s="732"/>
    </row>
    <row r="60" spans="2:5" x14ac:dyDescent="0.25">
      <c r="B60" s="730"/>
      <c r="C60" s="731"/>
      <c r="D60" s="731"/>
      <c r="E60" s="732"/>
    </row>
    <row r="61" spans="2:5" x14ac:dyDescent="0.25">
      <c r="B61" s="730"/>
      <c r="C61" s="731"/>
      <c r="D61" s="731"/>
      <c r="E61" s="732"/>
    </row>
    <row r="62" spans="2:5" x14ac:dyDescent="0.25">
      <c r="B62" s="730"/>
      <c r="C62" s="731"/>
      <c r="D62" s="731"/>
      <c r="E62" s="732"/>
    </row>
    <row r="63" spans="2:5" x14ac:dyDescent="0.25">
      <c r="B63" s="730"/>
      <c r="C63" s="731"/>
      <c r="D63" s="731"/>
      <c r="E63" s="732"/>
    </row>
    <row r="64" spans="2:5" x14ac:dyDescent="0.25">
      <c r="B64" s="730"/>
      <c r="C64" s="731"/>
      <c r="D64" s="731"/>
      <c r="E64" s="732"/>
    </row>
    <row r="65" spans="2:5" x14ac:dyDescent="0.25">
      <c r="B65" s="730"/>
      <c r="C65" s="731"/>
      <c r="D65" s="731"/>
      <c r="E65" s="732"/>
    </row>
    <row r="66" spans="2:5" x14ac:dyDescent="0.25">
      <c r="B66" s="730"/>
      <c r="C66" s="731"/>
      <c r="D66" s="731"/>
      <c r="E66" s="732"/>
    </row>
    <row r="67" spans="2:5" x14ac:dyDescent="0.25">
      <c r="B67" s="730"/>
      <c r="C67" s="731"/>
      <c r="D67" s="731"/>
      <c r="E67" s="732"/>
    </row>
    <row r="68" spans="2:5" x14ac:dyDescent="0.25">
      <c r="B68" s="730"/>
      <c r="C68" s="731"/>
      <c r="D68" s="731"/>
      <c r="E68" s="732"/>
    </row>
    <row r="69" spans="2:5" x14ac:dyDescent="0.25">
      <c r="B69" s="730"/>
      <c r="C69" s="731"/>
      <c r="D69" s="731"/>
      <c r="E69" s="732"/>
    </row>
    <row r="70" spans="2:5" x14ac:dyDescent="0.25">
      <c r="B70" s="730"/>
      <c r="C70" s="731"/>
      <c r="D70" s="731"/>
      <c r="E70" s="732"/>
    </row>
    <row r="71" spans="2:5" ht="15.75" thickBot="1" x14ac:dyDescent="0.3">
      <c r="B71" s="733"/>
      <c r="C71" s="734"/>
      <c r="D71" s="734"/>
      <c r="E71" s="735"/>
    </row>
  </sheetData>
  <mergeCells count="41">
    <mergeCell ref="B53:E71"/>
    <mergeCell ref="A3:B3"/>
    <mergeCell ref="A4:B4"/>
    <mergeCell ref="A13:B13"/>
    <mergeCell ref="B38:C38"/>
    <mergeCell ref="B50:E50"/>
    <mergeCell ref="B51:E51"/>
    <mergeCell ref="C39:E39"/>
    <mergeCell ref="C40:E40"/>
    <mergeCell ref="C41:E41"/>
    <mergeCell ref="C42:E42"/>
    <mergeCell ref="C43:E43"/>
    <mergeCell ref="C45:E45"/>
    <mergeCell ref="B46:E46"/>
    <mergeCell ref="C44:E44"/>
    <mergeCell ref="B47:E47"/>
    <mergeCell ref="G19:N19"/>
    <mergeCell ref="G20:N20"/>
    <mergeCell ref="G21:N21"/>
    <mergeCell ref="G33:N33"/>
    <mergeCell ref="G34:N34"/>
    <mergeCell ref="G22:N22"/>
    <mergeCell ref="G23:N23"/>
    <mergeCell ref="G24:N24"/>
    <mergeCell ref="G30:N30"/>
    <mergeCell ref="G31:N31"/>
    <mergeCell ref="G32:N32"/>
    <mergeCell ref="G14:N14"/>
    <mergeCell ref="G15:N15"/>
    <mergeCell ref="G16:N16"/>
    <mergeCell ref="G17:N17"/>
    <mergeCell ref="G18:N18"/>
    <mergeCell ref="B48:E48"/>
    <mergeCell ref="B49:E49"/>
    <mergeCell ref="G36:N36"/>
    <mergeCell ref="G25:N25"/>
    <mergeCell ref="G28:N28"/>
    <mergeCell ref="G29:N29"/>
    <mergeCell ref="G26:N26"/>
    <mergeCell ref="G27:N27"/>
    <mergeCell ref="G35:N35"/>
  </mergeCells>
  <conditionalFormatting sqref="D16:E36">
    <cfRule type="cellIs" dxfId="57" priority="2" operator="greaterThan">
      <formula>5</formula>
    </cfRule>
    <cfRule type="cellIs" dxfId="56" priority="3" operator="lessThan">
      <formula>3.5</formula>
    </cfRule>
    <cfRule type="cellIs" dxfId="55" priority="4" operator="greaterThanOrEqual">
      <formula>3.5</formula>
    </cfRule>
  </conditionalFormatting>
  <conditionalFormatting sqref="F16:F36">
    <cfRule type="cellIs" dxfId="54" priority="1" operator="equal">
      <formula>"Requires Justification"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F9BA-83E0-4578-A40F-6751D99EDE4A}">
  <dimension ref="C1:AO53"/>
  <sheetViews>
    <sheetView zoomScale="90" zoomScaleNormal="90" workbookViewId="0">
      <selection activeCell="S44" sqref="S44:T53"/>
    </sheetView>
  </sheetViews>
  <sheetFormatPr defaultColWidth="8.7109375" defaultRowHeight="15" x14ac:dyDescent="0.25"/>
  <cols>
    <col min="1" max="3" width="8.7109375" style="282"/>
    <col min="4" max="4" width="12.5703125" style="282" customWidth="1"/>
    <col min="5" max="8" width="8.7109375" style="282"/>
    <col min="9" max="13" width="8.7109375" style="282" customWidth="1"/>
    <col min="14" max="14" width="12.85546875" style="282" customWidth="1"/>
    <col min="15" max="21" width="8.7109375" style="282" customWidth="1"/>
    <col min="22" max="40" width="8.7109375" style="282"/>
    <col min="41" max="41" width="12.42578125" style="282" customWidth="1"/>
    <col min="42" max="16384" width="8.7109375" style="282"/>
  </cols>
  <sheetData>
    <row r="1" spans="3:41" ht="15.75" thickBot="1" x14ac:dyDescent="0.3">
      <c r="G1" s="756" t="s">
        <v>33</v>
      </c>
      <c r="H1" s="757"/>
      <c r="I1" s="757"/>
      <c r="J1" s="757"/>
      <c r="K1" s="757"/>
      <c r="L1" s="757"/>
      <c r="M1" s="762" t="str">
        <f>IF('Course Information'!C1 ="","",'Course Information'!C1)</f>
        <v/>
      </c>
      <c r="N1" s="762"/>
      <c r="O1" s="763"/>
    </row>
    <row r="2" spans="3:41" ht="15.75" thickBot="1" x14ac:dyDescent="0.3">
      <c r="G2" s="758" t="s">
        <v>188</v>
      </c>
      <c r="H2" s="759"/>
      <c r="I2" s="759"/>
      <c r="J2" s="759"/>
      <c r="K2" s="759"/>
      <c r="L2" s="759"/>
      <c r="M2" s="762" t="str">
        <f>IF('Course Information'!C2 ="","",'Course Information'!C2)</f>
        <v/>
      </c>
      <c r="N2" s="762"/>
      <c r="O2" s="763"/>
    </row>
    <row r="3" spans="3:41" ht="15.75" thickBot="1" x14ac:dyDescent="0.3">
      <c r="G3" s="758" t="s">
        <v>341</v>
      </c>
      <c r="H3" s="759"/>
      <c r="I3" s="759"/>
      <c r="J3" s="759"/>
      <c r="K3" s="759"/>
      <c r="L3" s="759"/>
      <c r="M3" s="762" t="str">
        <f>IF('Course Information'!C3 ="","",'Course Information'!C3)</f>
        <v/>
      </c>
      <c r="N3" s="762"/>
      <c r="O3" s="763"/>
    </row>
    <row r="4" spans="3:41" ht="15.75" thickBot="1" x14ac:dyDescent="0.3">
      <c r="G4" s="758" t="s">
        <v>296</v>
      </c>
      <c r="H4" s="759"/>
      <c r="I4" s="759"/>
      <c r="J4" s="759"/>
      <c r="K4" s="759"/>
      <c r="L4" s="759"/>
      <c r="M4" s="762" t="str">
        <f>IF('Course Information'!C4 ="","",'Course Information'!C4)</f>
        <v/>
      </c>
      <c r="N4" s="762"/>
      <c r="O4" s="763"/>
    </row>
    <row r="5" spans="3:41" ht="15.75" thickBot="1" x14ac:dyDescent="0.3">
      <c r="G5" s="758" t="s">
        <v>266</v>
      </c>
      <c r="H5" s="759"/>
      <c r="I5" s="759"/>
      <c r="J5" s="759"/>
      <c r="K5" s="759"/>
      <c r="L5" s="759"/>
      <c r="M5" s="762" t="str">
        <f>IF('Course Information'!C5 ="","",'Course Information'!C5)</f>
        <v/>
      </c>
      <c r="N5" s="762"/>
      <c r="O5" s="763"/>
    </row>
    <row r="6" spans="3:41" ht="15.75" thickBot="1" x14ac:dyDescent="0.3">
      <c r="G6" s="760" t="s">
        <v>46</v>
      </c>
      <c r="H6" s="761"/>
      <c r="I6" s="761"/>
      <c r="J6" s="761"/>
      <c r="K6" s="761"/>
      <c r="L6" s="761"/>
      <c r="M6" s="762" t="str">
        <f>IF('Course Information'!C6 ="","",'Course Information'!C6)</f>
        <v/>
      </c>
      <c r="N6" s="762"/>
      <c r="O6" s="763"/>
    </row>
    <row r="8" spans="3:41" x14ac:dyDescent="0.25">
      <c r="W8" s="282" t="s">
        <v>467</v>
      </c>
      <c r="X8" s="282" t="s">
        <v>441</v>
      </c>
      <c r="Y8" s="282" t="s">
        <v>442</v>
      </c>
      <c r="AA8" s="755" t="s">
        <v>443</v>
      </c>
      <c r="AB8" s="755"/>
      <c r="AC8" s="755"/>
      <c r="AD8" s="755"/>
      <c r="AE8" s="755"/>
      <c r="AF8" s="755"/>
      <c r="AG8" s="755"/>
      <c r="AH8" s="755"/>
      <c r="AI8" s="755"/>
      <c r="AJ8" s="755"/>
      <c r="AN8" s="447" t="s">
        <v>403</v>
      </c>
      <c r="AO8" s="447" t="s">
        <v>440</v>
      </c>
    </row>
    <row r="9" spans="3:41" x14ac:dyDescent="0.25">
      <c r="W9" s="282">
        <f>IF(Y9&lt;&gt;0,LEN(TRIM(Y9))-LEN(SUBSTITUTE(TRIM(Y9),",",""))+1,0)</f>
        <v>0</v>
      </c>
      <c r="X9" s="447" t="s">
        <v>311</v>
      </c>
      <c r="Y9" s="447" cm="1">
        <f t="array" ref="Y9:Z9">'Course Information'!C24:D24</f>
        <v>0</v>
      </c>
      <c r="Z9" s="448">
        <v>0</v>
      </c>
      <c r="AA9" s="449">
        <f>IF(W9&gt;1,(IFERROR(IF($Y$9=SUBSTITUTE($Y$9,",","|",COLUMNS($Y$10:Y10)),MID(SUBSTITUTE($Y$9,",","|",COLUMNS($Y$10:Y10)),FIND("|",SUBSTITUTE($Y$9,",","|",COLUMNS($Y$10:Y10)-1))+1,244),MID($Y$9,IF(COLUMNS($Y$10:Y10)=1,1,FIND(":",SUBSTITUTE($Y$9,",",":",COLUMNS($Y$10:Y10)-1))+1),IF(COLUMNS($Y$10:Y10)=1,FIND(",",$Y$9)-1,IF(COLUMNS($Y$10:Y10)=1,1,LEN($Y$9)-LEN(RIGHT(SUBSTITUTE($Y$9,",","|",COLUMNS($Y$10:Y10)),LEN(SUBSTITUTE($Y$9,",","|",COLUMNS($Y$10:Y10)))-FIND("|",SUBSTITUTE($Y$9,",","|",COLUMNS($Y$10:Y10)))))-IF(COLUMNS($Y$10:Y10)=1,1,FIND(":",SUBSTITUTE($Y$9,",",":",COLUMNS($Y$10:Y10)-1))+1))))),"0")),Y9)</f>
        <v>0</v>
      </c>
      <c r="AB9" s="449" t="str">
        <f>IFERROR(IF($Y$9=SUBSTITUTE($Y$9,",","|",COLUMNS($Y$10:Z10)),MID(SUBSTITUTE($Y$9,",","|",COLUMNS($Y$10:Z10)),FIND("|",SUBSTITUTE($Y$9,",","|",COLUMNS($Y$10:Z10)-1))+1,244),MID($Y$9,IF(COLUMNS($Y$10:Z10)=1,1,FIND(":",SUBSTITUTE($Y$9,",",":",COLUMNS($Y$10:Z10)-1))+1),IF(COLUMNS($Y$10:Z10)=1,FIND(",",$Y$9)-1,IF(COLUMNS($Y$10:Z10)=1,1,LEN($Y$9)-LEN(RIGHT(SUBSTITUTE($Y$9,",","|",COLUMNS($Y$10:Z10)),LEN(SUBSTITUTE($Y$9,",","|",COLUMNS($Y$10:Z10)))-FIND("|",SUBSTITUTE($Y$9,",","|",COLUMNS($Y$10:Z10)))))-IF(COLUMNS($Y$10:Z10)=1,1,FIND(":",SUBSTITUTE($Y$9,",",":",COLUMNS($Y$10:Z10)-1))+1))))),"0")</f>
        <v>0</v>
      </c>
      <c r="AC9" s="449" t="str">
        <f>IFERROR(IF($Y$9=SUBSTITUTE($Y$9,",","|",COLUMNS($Y$10:AA10)),MID(SUBSTITUTE($Y$9,",","|",COLUMNS($Y$10:AA10)),FIND("|",SUBSTITUTE($Y$9,",","|",COLUMNS($Y$10:AA10)-1))+1,244),MID($Y$9,IF(COLUMNS($Y$10:AA10)=1,1,FIND(":",SUBSTITUTE($Y$9,",",":",COLUMNS($Y$10:AA10)-1))+1),IF(COLUMNS($Y$10:AA10)=1,FIND(",",$Y$9)-1,IF(COLUMNS($Y$10:AA10)=1,1,LEN($Y$9)-LEN(RIGHT(SUBSTITUTE($Y$9,",","|",COLUMNS($Y$10:AA10)),LEN(SUBSTITUTE($Y$9,",","|",COLUMNS($Y$10:AA10)))-FIND("|",SUBSTITUTE($Y$9,",","|",COLUMNS($Y$10:AA10)))))-IF(COLUMNS($Y$10:AA10)=1,1,FIND(":",SUBSTITUTE($Y$9,",",":",COLUMNS($Y$10:AA10)-1))+1))))),"0")</f>
        <v>0</v>
      </c>
      <c r="AD9" s="449" t="str">
        <f>IFERROR(IF($Y$9=SUBSTITUTE($Y$9,",","|",COLUMNS($Y$10:AB10)),MID(SUBSTITUTE($Y$9,",","|",COLUMNS($Y$10:AB10)),FIND("|",SUBSTITUTE($Y$9,",","|",COLUMNS($Y$10:AB10)-1))+1,244),MID($Y$9,IF(COLUMNS($Y$10:AB10)=1,1,FIND(":",SUBSTITUTE($Y$9,",",":",COLUMNS($Y$10:AB10)-1))+1),IF(COLUMNS($Y$10:AB10)=1,FIND(",",$Y$9)-1,IF(COLUMNS($Y$10:AB10)=1,1,LEN($Y$9)-LEN(RIGHT(SUBSTITUTE($Y$9,",","|",COLUMNS($Y$10:AB10)),LEN(SUBSTITUTE($Y$9,",","|",COLUMNS($Y$10:AB10)))-FIND("|",SUBSTITUTE($Y$9,",","|",COLUMNS($Y$10:AB10)))))-IF(COLUMNS($Y$10:AB10)=1,1,FIND(":",SUBSTITUTE($Y$9,",",":",COLUMNS($Y$10:AB10)-1))+1))))),"0")</f>
        <v>0</v>
      </c>
      <c r="AE9" s="449" t="str">
        <f>IFERROR(IF($Y$9=SUBSTITUTE($Y$9,",","|",COLUMNS($Y$10:AC10)),MID(SUBSTITUTE($Y$9,",","|",COLUMNS($Y$10:AC10)),FIND("|",SUBSTITUTE($Y$9,",","|",COLUMNS($Y$10:AC10)-1))+1,244),MID($Y$9,IF(COLUMNS($Y$10:AC10)=1,1,FIND(":",SUBSTITUTE($Y$9,",",":",COLUMNS($Y$10:AC10)-1))+1),IF(COLUMNS($Y$10:AC10)=1,FIND(",",$Y$9)-1,IF(COLUMNS($Y$10:AC10)=1,1,LEN($Y$9)-LEN(RIGHT(SUBSTITUTE($Y$9,",","|",COLUMNS($Y$10:AC10)),LEN(SUBSTITUTE($Y$9,",","|",COLUMNS($Y$10:AC10)))-FIND("|",SUBSTITUTE($Y$9,",","|",COLUMNS($Y$10:AC10)))))-IF(COLUMNS($Y$10:AC10)=1,1,FIND(":",SUBSTITUTE($Y$9,",",":",COLUMNS($Y$10:AC10)-1))+1))))),"0")</f>
        <v>0</v>
      </c>
      <c r="AF9" s="449" t="str">
        <f>IFERROR(IF($Y$9=SUBSTITUTE($Y$9,",","|",COLUMNS($Y$10:AD10)),MID(SUBSTITUTE($Y$9,",","|",COLUMNS($Y$10:AD10)),FIND("|",SUBSTITUTE($Y$9,",","|",COLUMNS($Y$10:AD10)-1))+1,244),MID($Y$9,IF(COLUMNS($Y$10:AD10)=1,1,FIND(":",SUBSTITUTE($Y$9,",",":",COLUMNS($Y$10:AD10)-1))+1),IF(COLUMNS($Y$10:AD10)=1,FIND(",",$Y$9)-1,IF(COLUMNS($Y$10:AD10)=1,1,LEN($Y$9)-LEN(RIGHT(SUBSTITUTE($Y$9,",","|",COLUMNS($Y$10:AD10)),LEN(SUBSTITUTE($Y$9,",","|",COLUMNS($Y$10:AD10)))-FIND("|",SUBSTITUTE($Y$9,",","|",COLUMNS($Y$10:AD10)))))-IF(COLUMNS($Y$10:AD10)=1,1,FIND(":",SUBSTITUTE($Y$9,",",":",COLUMNS($Y$10:AD10)-1))+1))))),"0")</f>
        <v>0</v>
      </c>
      <c r="AG9" s="449" t="str">
        <f>IFERROR(IF($Y$9=SUBSTITUTE($Y$9,",","|",COLUMNS($Y$10:AE10)),MID(SUBSTITUTE($Y$9,",","|",COLUMNS($Y$10:AE10)),FIND("|",SUBSTITUTE($Y$9,",","|",COLUMNS($Y$10:AE10)-1))+1,244),MID($Y$9,IF(COLUMNS($Y$10:AE10)=1,1,FIND(":",SUBSTITUTE($Y$9,",",":",COLUMNS($Y$10:AE10)-1))+1),IF(COLUMNS($Y$10:AE10)=1,FIND(",",$Y$9)-1,IF(COLUMNS($Y$10:AE10)=1,1,LEN($Y$9)-LEN(RIGHT(SUBSTITUTE($Y$9,",","|",COLUMNS($Y$10:AE10)),LEN(SUBSTITUTE($Y$9,",","|",COLUMNS($Y$10:AE10)))-FIND("|",SUBSTITUTE($Y$9,",","|",COLUMNS($Y$10:AE10)))))-IF(COLUMNS($Y$10:AE10)=1,1,FIND(":",SUBSTITUTE($Y$9,",",":",COLUMNS($Y$10:AE10)-1))+1))))),"0")</f>
        <v>0</v>
      </c>
      <c r="AH9" s="449" t="str">
        <f>IFERROR(IF($Y$9=SUBSTITUTE($Y$9,",","|",COLUMNS($Y$10:AF10)),MID(SUBSTITUTE($Y$9,",","|",COLUMNS($Y$10:AF10)),FIND("|",SUBSTITUTE($Y$9,",","|",COLUMNS($Y$10:AF10)-1))+1,244),MID($Y$9,IF(COLUMNS($Y$10:AF10)=1,1,FIND(":",SUBSTITUTE($Y$9,",",":",COLUMNS($Y$10:AF10)-1))+1),IF(COLUMNS($Y$10:AF10)=1,FIND(",",$Y$9)-1,IF(COLUMNS($Y$10:AF10)=1,1,LEN($Y$9)-LEN(RIGHT(SUBSTITUTE($Y$9,",","|",COLUMNS($Y$10:AF10)),LEN(SUBSTITUTE($Y$9,",","|",COLUMNS($Y$10:AF10)))-FIND("|",SUBSTITUTE($Y$9,",","|",COLUMNS($Y$10:AF10)))))-IF(COLUMNS($Y$10:AF10)=1,1,FIND(":",SUBSTITUTE($Y$9,",",":",COLUMNS($Y$10:AF10)-1))+1))))),"0")</f>
        <v>0</v>
      </c>
      <c r="AI9" s="449" t="str">
        <f>IFERROR(IF($Y$9=SUBSTITUTE($Y$9,",","|",COLUMNS($Y$10:AG10)),MID(SUBSTITUTE($Y$9,",","|",COLUMNS($Y$10:AG10)),FIND("|",SUBSTITUTE($Y$9,",","|",COLUMNS($Y$10:AG10)-1))+1,244),MID($Y$9,IF(COLUMNS($Y$10:AG10)=1,1,FIND(":",SUBSTITUTE($Y$9,",",":",COLUMNS($Y$10:AG10)-1))+1),IF(COLUMNS($Y$10:AG10)=1,FIND(",",$Y$9)-1,IF(COLUMNS($Y$10:AG10)=1,1,LEN($Y$9)-LEN(RIGHT(SUBSTITUTE($Y$9,",","|",COLUMNS($Y$10:AG10)),LEN(SUBSTITUTE($Y$9,",","|",COLUMNS($Y$10:AG10)))-FIND("|",SUBSTITUTE($Y$9,",","|",COLUMNS($Y$10:AG10)))))-IF(COLUMNS($Y$10:AG10)=1,1,FIND(":",SUBSTITUTE($Y$9,",",":",COLUMNS($Y$10:AG10)-1))+1))))),"0")</f>
        <v>0</v>
      </c>
      <c r="AJ9" s="449" t="str">
        <f>IFERROR(IF($Y$9=SUBSTITUTE($Y$9,",","|",COLUMNS($Y$10:AH10)),MID(SUBSTITUTE($Y$9,",","|",COLUMNS($Y$10:AH10)),FIND("|",SUBSTITUTE($Y$9,",","|",COLUMNS($Y$10:AH10)-1))+1,244),MID($Y$9,IF(COLUMNS($Y$10:AH10)=1,1,FIND(":",SUBSTITUTE($Y$9,",",":",COLUMNS($Y$10:AH10)-1))+1),IF(COLUMNS($Y$10:AH10)=1,FIND(",",$Y$9)-1,IF(COLUMNS($Y$10:AH10)=1,1,LEN($Y$9)-LEN(RIGHT(SUBSTITUTE($Y$9,",","|",COLUMNS($Y$10:AH10)),LEN(SUBSTITUTE($Y$9,",","|",COLUMNS($Y$10:AH10)))-FIND("|",SUBSTITUTE($Y$9,",","|",COLUMNS($Y$10:AH10)))))-IF(COLUMNS($Y$10:AH10)=1,1,FIND(":",SUBSTITUTE($Y$9,",",":",COLUMNS($Y$10:AH10)-1))+1))))),"0")</f>
        <v>0</v>
      </c>
      <c r="AK9" s="449" t="str">
        <f>IFERROR(IF($Y$9=SUBSTITUTE($Y$9,",","|",COLUMNS($Y$10:AI10)),MID(SUBSTITUTE($Y$9,",","|",COLUMNS($Y$10:AI10)),FIND("|",SUBSTITUTE($Y$9,",","|",COLUMNS($Y$10:AI10)-1))+1,244),MID($Y$9,IF(COLUMNS($Y$10:AI10)=1,1,FIND(":",SUBSTITUTE($Y$9,",",":",COLUMNS($Y$10:AI10)-1))+1),IF(COLUMNS($Y$10:AI10)=1,FIND(",",$Y$9)-1,IF(COLUMNS($Y$10:AI10)=1,1,LEN($Y$9)-LEN(RIGHT(SUBSTITUTE($Y$9,",","|",COLUMNS($Y$10:AI10)),LEN(SUBSTITUTE($Y$9,",","|",COLUMNS($Y$10:AI10)))-FIND("|",SUBSTITUTE($Y$9,",","|",COLUMNS($Y$10:AI10)))))-IF(COLUMNS($Y$10:AI10)=1,1,FIND(":",SUBSTITUTE($Y$9,",",":",COLUMNS($Y$10:AI10)-1))+1))))),"0")</f>
        <v>0</v>
      </c>
      <c r="AL9" s="449" t="str">
        <f>IFERROR(IF($Y$9=SUBSTITUTE($Y$9,",","|",COLUMNS($Y$10:AJ10)),MID(SUBSTITUTE($Y$9,",","|",COLUMNS($Y$10:AJ10)),FIND("|",SUBSTITUTE($Y$9,",","|",COLUMNS($Y$10:AJ10)-1))+1,244),MID($Y$9,IF(COLUMNS($Y$10:AJ10)=1,1,FIND(":",SUBSTITUTE($Y$9,",",":",COLUMNS($Y$10:AJ10)-1))+1),IF(COLUMNS($Y$10:AJ10)=1,FIND(",",$Y$9)-1,IF(COLUMNS($Y$10:AJ10)=1,1,LEN($Y$9)-LEN(RIGHT(SUBSTITUTE($Y$9,",","|",COLUMNS($Y$10:AJ10)),LEN(SUBSTITUTE($Y$9,",","|",COLUMNS($Y$10:AJ10)))-FIND("|",SUBSTITUTE($Y$9,",","|",COLUMNS($Y$10:AJ10)))))-IF(COLUMNS($Y$10:AJ10)=1,1,FIND(":",SUBSTITUTE($Y$9,",",":",COLUMNS($Y$10:AJ10)-1))+1))))),"0")</f>
        <v>0</v>
      </c>
      <c r="AN9" s="447">
        <v>1</v>
      </c>
      <c r="AO9" s="447" t="str">
        <f>IFERROR('Course Report'!F10,"")</f>
        <v/>
      </c>
    </row>
    <row r="10" spans="3:41" ht="15.75" thickBot="1" x14ac:dyDescent="0.3">
      <c r="W10" s="282">
        <f t="shared" ref="W10:W14" si="0">IF(Y10&lt;&gt;0,LEN(TRIM(Y10))-LEN(SUBSTITUTE(TRIM(Y10),",",""))+1,0)</f>
        <v>0</v>
      </c>
      <c r="X10" s="447" t="s">
        <v>312</v>
      </c>
      <c r="Y10" s="447" cm="1">
        <f t="array" ref="Y10:Z10">'Course Information'!C25:D25</f>
        <v>0</v>
      </c>
      <c r="Z10" s="448">
        <v>0</v>
      </c>
      <c r="AA10" s="449">
        <f>IF(W10&gt;1,(IFERROR(IF($Y$10=SUBSTITUTE($Y$10,",","|",COLUMNS($Y$11:Y11)),MID(SUBSTITUTE($Y$10,",","|",COLUMNS($Y$11:Y11)),FIND("|",SUBSTITUTE($Y$10,",","|",COLUMNS($Y$11:Y11)-1))+1,244),MID($Y$10,IF(COLUMNS($Y$11:Y11)=1,1,FIND(":",SUBSTITUTE($Y$10,",",":",COLUMNS($Y$11:Y11)-1))+1),IF(COLUMNS($Y$11:Y11)=1,FIND(",",$Y$10)-1,IF(COLUMNS($Y$11:Y11)=1,1,LEN($Y$10)-LEN(RIGHT(SUBSTITUTE($Y$10,",","|",COLUMNS($Y$11:Y11)),LEN(SUBSTITUTE($Y$10,",","|",COLUMNS($Y$11:Y11)))-FIND("|",SUBSTITUTE($Y$10,",","|",COLUMNS($Y$11:Y11)))))-IF(COLUMNS($Y$11:Y11)=1,1,FIND(":",SUBSTITUTE($Y$10,",",":",COLUMNS($Y$11:Y11)-1))+1))))),"0")),Y10)</f>
        <v>0</v>
      </c>
      <c r="AB10" s="449" t="str">
        <f>IFERROR(IF($Y$10=SUBSTITUTE($Y$10,",","|",COLUMNS($Y$11:Z11)),MID(SUBSTITUTE($Y$10,",","|",COLUMNS($Y$11:Z11)),FIND("|",SUBSTITUTE($Y$10,",","|",COLUMNS($Y$11:Z11)-1))+1,244),MID($Y$10,IF(COLUMNS($Y$11:Z11)=1,1,FIND(":",SUBSTITUTE($Y$10,",",":",COLUMNS($Y$11:Z11)-1))+1),IF(COLUMNS($Y$11:Z11)=1,FIND(",",$Y$10)-1,IF(COLUMNS($Y$11:Z11)=1,1,LEN($Y$10)-LEN(RIGHT(SUBSTITUTE($Y$10,",","|",COLUMNS($Y$11:Z11)),LEN(SUBSTITUTE($Y$10,",","|",COLUMNS($Y$11:Z11)))-FIND("|",SUBSTITUTE($Y$10,",","|",COLUMNS($Y$11:Z11)))))-IF(COLUMNS($Y$11:Z11)=1,1,FIND(":",SUBSTITUTE($Y$10,",",":",COLUMNS($Y$11:Z11)-1))+1))))),"0")</f>
        <v>0</v>
      </c>
      <c r="AC10" s="449" t="str">
        <f>IFERROR(IF($Y$10=SUBSTITUTE($Y$10,",","|",COLUMNS($Y$11:AA11)),MID(SUBSTITUTE($Y$10,",","|",COLUMNS($Y$11:AA11)),FIND("|",SUBSTITUTE($Y$10,",","|",COLUMNS($Y$11:AA11)-1))+1,244),MID($Y$10,IF(COLUMNS($Y$11:AA11)=1,1,FIND(":",SUBSTITUTE($Y$10,",",":",COLUMNS($Y$11:AA11)-1))+1),IF(COLUMNS($Y$11:AA11)=1,FIND(",",$Y$10)-1,IF(COLUMNS($Y$11:AA11)=1,1,LEN($Y$10)-LEN(RIGHT(SUBSTITUTE($Y$10,",","|",COLUMNS($Y$11:AA11)),LEN(SUBSTITUTE($Y$10,",","|",COLUMNS($Y$11:AA11)))-FIND("|",SUBSTITUTE($Y$10,",","|",COLUMNS($Y$11:AA11)))))-IF(COLUMNS($Y$11:AA11)=1,1,FIND(":",SUBSTITUTE($Y$10,",",":",COLUMNS($Y$11:AA11)-1))+1))))),"0")</f>
        <v>0</v>
      </c>
      <c r="AD10" s="449" t="str">
        <f>IFERROR(IF($Y$10=SUBSTITUTE($Y$10,",","|",COLUMNS($Y$11:AB11)),MID(SUBSTITUTE($Y$10,",","|",COLUMNS($Y$11:AB11)),FIND("|",SUBSTITUTE($Y$10,",","|",COLUMNS($Y$11:AB11)-1))+1,244),MID($Y$10,IF(COLUMNS($Y$11:AB11)=1,1,FIND(":",SUBSTITUTE($Y$10,",",":",COLUMNS($Y$11:AB11)-1))+1),IF(COLUMNS($Y$11:AB11)=1,FIND(",",$Y$10)-1,IF(COLUMNS($Y$11:AB11)=1,1,LEN($Y$10)-LEN(RIGHT(SUBSTITUTE($Y$10,",","|",COLUMNS($Y$11:AB11)),LEN(SUBSTITUTE($Y$10,",","|",COLUMNS($Y$11:AB11)))-FIND("|",SUBSTITUTE($Y$10,",","|",COLUMNS($Y$11:AB11)))))-IF(COLUMNS($Y$11:AB11)=1,1,FIND(":",SUBSTITUTE($Y$10,",",":",COLUMNS($Y$11:AB11)-1))+1))))),"0")</f>
        <v>0</v>
      </c>
      <c r="AE10" s="449" t="str">
        <f>IFERROR(IF($Y$10=SUBSTITUTE($Y$10,",","|",COLUMNS($Y$11:AC11)),MID(SUBSTITUTE($Y$10,",","|",COLUMNS($Y$11:AC11)),FIND("|",SUBSTITUTE($Y$10,",","|",COLUMNS($Y$11:AC11)-1))+1,244),MID($Y$10,IF(COLUMNS($Y$11:AC11)=1,1,FIND(":",SUBSTITUTE($Y$10,",",":",COLUMNS($Y$11:AC11)-1))+1),IF(COLUMNS($Y$11:AC11)=1,FIND(",",$Y$10)-1,IF(COLUMNS($Y$11:AC11)=1,1,LEN($Y$10)-LEN(RIGHT(SUBSTITUTE($Y$10,",","|",COLUMNS($Y$11:AC11)),LEN(SUBSTITUTE($Y$10,",","|",COLUMNS($Y$11:AC11)))-FIND("|",SUBSTITUTE($Y$10,",","|",COLUMNS($Y$11:AC11)))))-IF(COLUMNS($Y$11:AC11)=1,1,FIND(":",SUBSTITUTE($Y$10,",",":",COLUMNS($Y$11:AC11)-1))+1))))),"0")</f>
        <v>0</v>
      </c>
      <c r="AF10" s="449" t="str">
        <f>IFERROR(IF($Y$10=SUBSTITUTE($Y$10,",","|",COLUMNS($Y$11:AD11)),MID(SUBSTITUTE($Y$10,",","|",COLUMNS($Y$11:AD11)),FIND("|",SUBSTITUTE($Y$10,",","|",COLUMNS($Y$11:AD11)-1))+1,244),MID($Y$10,IF(COLUMNS($Y$11:AD11)=1,1,FIND(":",SUBSTITUTE($Y$10,",",":",COLUMNS($Y$11:AD11)-1))+1),IF(COLUMNS($Y$11:AD11)=1,FIND(",",$Y$10)-1,IF(COLUMNS($Y$11:AD11)=1,1,LEN($Y$10)-LEN(RIGHT(SUBSTITUTE($Y$10,",","|",COLUMNS($Y$11:AD11)),LEN(SUBSTITUTE($Y$10,",","|",COLUMNS($Y$11:AD11)))-FIND("|",SUBSTITUTE($Y$10,",","|",COLUMNS($Y$11:AD11)))))-IF(COLUMNS($Y$11:AD11)=1,1,FIND(":",SUBSTITUTE($Y$10,",",":",COLUMNS($Y$11:AD11)-1))+1))))),"0")</f>
        <v>0</v>
      </c>
      <c r="AG10" s="449" t="str">
        <f>IFERROR(IF($Y$10=SUBSTITUTE($Y$10,",","|",COLUMNS($Y$11:AE11)),MID(SUBSTITUTE($Y$10,",","|",COLUMNS($Y$11:AE11)),FIND("|",SUBSTITUTE($Y$10,",","|",COLUMNS($Y$11:AE11)-1))+1,244),MID($Y$10,IF(COLUMNS($Y$11:AE11)=1,1,FIND(":",SUBSTITUTE($Y$10,",",":",COLUMNS($Y$11:AE11)-1))+1),IF(COLUMNS($Y$11:AE11)=1,FIND(",",$Y$10)-1,IF(COLUMNS($Y$11:AE11)=1,1,LEN($Y$10)-LEN(RIGHT(SUBSTITUTE($Y$10,",","|",COLUMNS($Y$11:AE11)),LEN(SUBSTITUTE($Y$10,",","|",COLUMNS($Y$11:AE11)))-FIND("|",SUBSTITUTE($Y$10,",","|",COLUMNS($Y$11:AE11)))))-IF(COLUMNS($Y$11:AE11)=1,1,FIND(":",SUBSTITUTE($Y$10,",",":",COLUMNS($Y$11:AE11)-1))+1))))),"0")</f>
        <v>0</v>
      </c>
      <c r="AH10" s="449" t="str">
        <f>IFERROR(IF($Y$10=SUBSTITUTE($Y$10,",","|",COLUMNS($Y$11:AF11)),MID(SUBSTITUTE($Y$10,",","|",COLUMNS($Y$11:AF11)),FIND("|",SUBSTITUTE($Y$10,",","|",COLUMNS($Y$11:AF11)-1))+1,244),MID($Y$10,IF(COLUMNS($Y$11:AF11)=1,1,FIND(":",SUBSTITUTE($Y$10,",",":",COLUMNS($Y$11:AF11)-1))+1),IF(COLUMNS($Y$11:AF11)=1,FIND(",",$Y$10)-1,IF(COLUMNS($Y$11:AF11)=1,1,LEN($Y$10)-LEN(RIGHT(SUBSTITUTE($Y$10,",","|",COLUMNS($Y$11:AF11)),LEN(SUBSTITUTE($Y$10,",","|",COLUMNS($Y$11:AF11)))-FIND("|",SUBSTITUTE($Y$10,",","|",COLUMNS($Y$11:AF11)))))-IF(COLUMNS($Y$11:AF11)=1,1,FIND(":",SUBSTITUTE($Y$10,",",":",COLUMNS($Y$11:AF11)-1))+1))))),"0")</f>
        <v>0</v>
      </c>
      <c r="AI10" s="449" t="str">
        <f>IFERROR(IF($Y$10=SUBSTITUTE($Y$10,",","|",COLUMNS($Y$11:AG11)),MID(SUBSTITUTE($Y$10,",","|",COLUMNS($Y$11:AG11)),FIND("|",SUBSTITUTE($Y$10,",","|",COLUMNS($Y$11:AG11)-1))+1,244),MID($Y$10,IF(COLUMNS($Y$11:AG11)=1,1,FIND(":",SUBSTITUTE($Y$10,",",":",COLUMNS($Y$11:AG11)-1))+1),IF(COLUMNS($Y$11:AG11)=1,FIND(",",$Y$10)-1,IF(COLUMNS($Y$11:AG11)=1,1,LEN($Y$10)-LEN(RIGHT(SUBSTITUTE($Y$10,",","|",COLUMNS($Y$11:AG11)),LEN(SUBSTITUTE($Y$10,",","|",COLUMNS($Y$11:AG11)))-FIND("|",SUBSTITUTE($Y$10,",","|",COLUMNS($Y$11:AG11)))))-IF(COLUMNS($Y$11:AG11)=1,1,FIND(":",SUBSTITUTE($Y$10,",",":",COLUMNS($Y$11:AG11)-1))+1))))),"0")</f>
        <v>0</v>
      </c>
      <c r="AJ10" s="449" t="str">
        <f>IFERROR(IF($Y$10=SUBSTITUTE($Y$10,",","|",COLUMNS($Y$11:AH11)),MID(SUBSTITUTE($Y$10,",","|",COLUMNS($Y$11:AH11)),FIND("|",SUBSTITUTE($Y$10,",","|",COLUMNS($Y$11:AH11)-1))+1,244),MID($Y$10,IF(COLUMNS($Y$11:AH11)=1,1,FIND(":",SUBSTITUTE($Y$10,",",":",COLUMNS($Y$11:AH11)-1))+1),IF(COLUMNS($Y$11:AH11)=1,FIND(",",$Y$10)-1,IF(COLUMNS($Y$11:AH11)=1,1,LEN($Y$10)-LEN(RIGHT(SUBSTITUTE($Y$10,",","|",COLUMNS($Y$11:AH11)),LEN(SUBSTITUTE($Y$10,",","|",COLUMNS($Y$11:AH11)))-FIND("|",SUBSTITUTE($Y$10,",","|",COLUMNS($Y$11:AH11)))))-IF(COLUMNS($Y$11:AH11)=1,1,FIND(":",SUBSTITUTE($Y$10,",",":",COLUMNS($Y$11:AH11)-1))+1))))),"0")</f>
        <v>0</v>
      </c>
      <c r="AK10" s="449" t="str">
        <f>IFERROR(IF($Y$10=SUBSTITUTE($Y$10,",","|",COLUMNS($Y$11:AI11)),MID(SUBSTITUTE($Y$10,",","|",COLUMNS($Y$11:AI11)),FIND("|",SUBSTITUTE($Y$10,",","|",COLUMNS($Y$11:AI11)-1))+1,244),MID($Y$10,IF(COLUMNS($Y$11:AI11)=1,1,FIND(":",SUBSTITUTE($Y$10,",",":",COLUMNS($Y$11:AI11)-1))+1),IF(COLUMNS($Y$11:AI11)=1,FIND(",",$Y$10)-1,IF(COLUMNS($Y$11:AI11)=1,1,LEN($Y$10)-LEN(RIGHT(SUBSTITUTE($Y$10,",","|",COLUMNS($Y$11:AI11)),LEN(SUBSTITUTE($Y$10,",","|",COLUMNS($Y$11:AI11)))-FIND("|",SUBSTITUTE($Y$10,",","|",COLUMNS($Y$11:AI11)))))-IF(COLUMNS($Y$11:AI11)=1,1,FIND(":",SUBSTITUTE($Y$10,",",":",COLUMNS($Y$11:AI11)-1))+1))))),"0")</f>
        <v>0</v>
      </c>
      <c r="AL10" s="449" t="str">
        <f>IFERROR(IF($Y$10=SUBSTITUTE($Y$10,",","|",COLUMNS($Y$11:AJ11)),MID(SUBSTITUTE($Y$10,",","|",COLUMNS($Y$11:AJ11)),FIND("|",SUBSTITUTE($Y$10,",","|",COLUMNS($Y$11:AJ11)-1))+1,244),MID($Y$10,IF(COLUMNS($Y$11:AJ11)=1,1,FIND(":",SUBSTITUTE($Y$10,",",":",COLUMNS($Y$11:AJ11)-1))+1),IF(COLUMNS($Y$11:AJ11)=1,FIND(",",$Y$10)-1,IF(COLUMNS($Y$11:AJ11)=1,1,LEN($Y$10)-LEN(RIGHT(SUBSTITUTE($Y$10,",","|",COLUMNS($Y$11:AJ11)),LEN(SUBSTITUTE($Y$10,",","|",COLUMNS($Y$11:AJ11)))-FIND("|",SUBSTITUTE($Y$10,",","|",COLUMNS($Y$11:AJ11)))))-IF(COLUMNS($Y$11:AJ11)=1,1,FIND(":",SUBSTITUTE($Y$10,",",":",COLUMNS($Y$11:AJ11)-1))+1))))),"0")</f>
        <v>0</v>
      </c>
      <c r="AN10" s="447">
        <v>2</v>
      </c>
      <c r="AO10" s="447" t="str">
        <f>IFERROR('Course Report'!F11,"")</f>
        <v/>
      </c>
    </row>
    <row r="11" spans="3:41" ht="15.75" thickBot="1" x14ac:dyDescent="0.3">
      <c r="C11" s="450" t="s">
        <v>403</v>
      </c>
      <c r="D11" s="451" t="s">
        <v>440</v>
      </c>
      <c r="E11" s="764" t="s">
        <v>311</v>
      </c>
      <c r="F11" s="765"/>
      <c r="G11" s="765"/>
      <c r="H11" s="766"/>
      <c r="I11" s="452" t="s">
        <v>444</v>
      </c>
      <c r="J11" s="466" t="s">
        <v>449</v>
      </c>
      <c r="M11" s="450" t="s">
        <v>403</v>
      </c>
      <c r="N11" s="451" t="s">
        <v>440</v>
      </c>
      <c r="O11" s="764" t="s">
        <v>312</v>
      </c>
      <c r="P11" s="765"/>
      <c r="Q11" s="765"/>
      <c r="R11" s="766"/>
      <c r="S11" s="452" t="s">
        <v>444</v>
      </c>
      <c r="T11" s="453" t="s">
        <v>449</v>
      </c>
      <c r="W11" s="282">
        <f t="shared" si="0"/>
        <v>0</v>
      </c>
      <c r="X11" s="447" t="s">
        <v>313</v>
      </c>
      <c r="Y11" s="447" cm="1">
        <f t="array" ref="Y11:Z11">'Course Information'!C26:D26</f>
        <v>0</v>
      </c>
      <c r="Z11" s="448">
        <v>0</v>
      </c>
      <c r="AA11" s="449">
        <f>IF(W11&gt;1,(IFERROR(IF($Y$11=SUBSTITUTE($Y$11,",","|",COLUMNS($Y$12:Y12)),MID(SUBSTITUTE($Y$11,",","|",COLUMNS($Y$12:Y12)),FIND("|",SUBSTITUTE($Y$11,",","|",COLUMNS($Y$12:Y12)-1))+1,244),MID($Y$11,IF(COLUMNS($Y$12:Y12)=1,1,FIND(":",SUBSTITUTE($Y$11,",",":",COLUMNS($Y$12:Y12)-1))+1),IF(COLUMNS($Y$12:Y12)=1,FIND(",",$Y$11)-1,IF(COLUMNS($Y$12:Y12)=1,1,LEN($Y$11)-LEN(RIGHT(SUBSTITUTE($Y$11,",","|",COLUMNS($Y$12:Y12)),LEN(SUBSTITUTE($Y$11,",","|",COLUMNS($Y$12:Y12)))-FIND("|",SUBSTITUTE($Y$11,",","|",COLUMNS($Y$12:Y12)))))-IF(COLUMNS($Y$12:Y12)=1,1,FIND(":",SUBSTITUTE($Y$11,",",":",COLUMNS($Y$12:Y12)-1))+1))))),"0")),Y11)</f>
        <v>0</v>
      </c>
      <c r="AB11" s="449" t="str">
        <f>IFERROR(IF($Y$11=SUBSTITUTE($Y$11,",","|",COLUMNS($Y$12:Z12)),MID(SUBSTITUTE($Y$11,",","|",COLUMNS($Y$12:Z12)),FIND("|",SUBSTITUTE($Y$11,",","|",COLUMNS($Y$12:Z12)-1))+1,244),MID($Y$11,IF(COLUMNS($Y$12:Z12)=1,1,FIND(":",SUBSTITUTE($Y$11,",",":",COLUMNS($Y$12:Z12)-1))+1),IF(COLUMNS($Y$12:Z12)=1,FIND(",",$Y$11)-1,IF(COLUMNS($Y$12:Z12)=1,1,LEN($Y$11)-LEN(RIGHT(SUBSTITUTE($Y$11,",","|",COLUMNS($Y$12:Z12)),LEN(SUBSTITUTE($Y$11,",","|",COLUMNS($Y$12:Z12)))-FIND("|",SUBSTITUTE($Y$11,",","|",COLUMNS($Y$12:Z12)))))-IF(COLUMNS($Y$12:Z12)=1,1,FIND(":",SUBSTITUTE($Y$11,",",":",COLUMNS($Y$12:Z12)-1))+1))))),"0")</f>
        <v>0</v>
      </c>
      <c r="AC11" s="449" t="str">
        <f>IFERROR(IF($Y$11=SUBSTITUTE($Y$11,",","|",COLUMNS($Y$12:AA12)),MID(SUBSTITUTE($Y$11,",","|",COLUMNS($Y$12:AA12)),FIND("|",SUBSTITUTE($Y$11,",","|",COLUMNS($Y$12:AA12)-1))+1,244),MID($Y$11,IF(COLUMNS($Y$12:AA12)=1,1,FIND(":",SUBSTITUTE($Y$11,",",":",COLUMNS($Y$12:AA12)-1))+1),IF(COLUMNS($Y$12:AA12)=1,FIND(",",$Y$11)-1,IF(COLUMNS($Y$12:AA12)=1,1,LEN($Y$11)-LEN(RIGHT(SUBSTITUTE($Y$11,",","|",COLUMNS($Y$12:AA12)),LEN(SUBSTITUTE($Y$11,",","|",COLUMNS($Y$12:AA12)))-FIND("|",SUBSTITUTE($Y$11,",","|",COLUMNS($Y$12:AA12)))))-IF(COLUMNS($Y$12:AA12)=1,1,FIND(":",SUBSTITUTE($Y$11,",",":",COLUMNS($Y$12:AA12)-1))+1))))),"0")</f>
        <v>0</v>
      </c>
      <c r="AD11" s="449" t="str">
        <f>IFERROR(IF($Y$11=SUBSTITUTE($Y$11,",","|",COLUMNS($Y$12:AB12)),MID(SUBSTITUTE($Y$11,",","|",COLUMNS($Y$12:AB12)),FIND("|",SUBSTITUTE($Y$11,",","|",COLUMNS($Y$12:AB12)-1))+1,244),MID($Y$11,IF(COLUMNS($Y$12:AB12)=1,1,FIND(":",SUBSTITUTE($Y$11,",",":",COLUMNS($Y$12:AB12)-1))+1),IF(COLUMNS($Y$12:AB12)=1,FIND(",",$Y$11)-1,IF(COLUMNS($Y$12:AB12)=1,1,LEN($Y$11)-LEN(RIGHT(SUBSTITUTE($Y$11,",","|",COLUMNS($Y$12:AB12)),LEN(SUBSTITUTE($Y$11,",","|",COLUMNS($Y$12:AB12)))-FIND("|",SUBSTITUTE($Y$11,",","|",COLUMNS($Y$12:AB12)))))-IF(COLUMNS($Y$12:AB12)=1,1,FIND(":",SUBSTITUTE($Y$11,",",":",COLUMNS($Y$12:AB12)-1))+1))))),"0")</f>
        <v>0</v>
      </c>
      <c r="AE11" s="449" t="str">
        <f>IFERROR(IF($Y$11=SUBSTITUTE($Y$11,",","|",COLUMNS($Y$12:AC12)),MID(SUBSTITUTE($Y$11,",","|",COLUMNS($Y$12:AC12)),FIND("|",SUBSTITUTE($Y$11,",","|",COLUMNS($Y$12:AC12)-1))+1,244),MID($Y$11,IF(COLUMNS($Y$12:AC12)=1,1,FIND(":",SUBSTITUTE($Y$11,",",":",COLUMNS($Y$12:AC12)-1))+1),IF(COLUMNS($Y$12:AC12)=1,FIND(",",$Y$11)-1,IF(COLUMNS($Y$12:AC12)=1,1,LEN($Y$11)-LEN(RIGHT(SUBSTITUTE($Y$11,",","|",COLUMNS($Y$12:AC12)),LEN(SUBSTITUTE($Y$11,",","|",COLUMNS($Y$12:AC12)))-FIND("|",SUBSTITUTE($Y$11,",","|",COLUMNS($Y$12:AC12)))))-IF(COLUMNS($Y$12:AC12)=1,1,FIND(":",SUBSTITUTE($Y$11,",",":",COLUMNS($Y$12:AC12)-1))+1))))),"0")</f>
        <v>0</v>
      </c>
      <c r="AF11" s="449" t="str">
        <f>IFERROR(IF($Y$11=SUBSTITUTE($Y$11,",","|",COLUMNS($Y$12:AD12)),MID(SUBSTITUTE($Y$11,",","|",COLUMNS($Y$12:AD12)),FIND("|",SUBSTITUTE($Y$11,",","|",COLUMNS($Y$12:AD12)-1))+1,244),MID($Y$11,IF(COLUMNS($Y$12:AD12)=1,1,FIND(":",SUBSTITUTE($Y$11,",",":",COLUMNS($Y$12:AD12)-1))+1),IF(COLUMNS($Y$12:AD12)=1,FIND(",",$Y$11)-1,IF(COLUMNS($Y$12:AD12)=1,1,LEN($Y$11)-LEN(RIGHT(SUBSTITUTE($Y$11,",","|",COLUMNS($Y$12:AD12)),LEN(SUBSTITUTE($Y$11,",","|",COLUMNS($Y$12:AD12)))-FIND("|",SUBSTITUTE($Y$11,",","|",COLUMNS($Y$12:AD12)))))-IF(COLUMNS($Y$12:AD12)=1,1,FIND(":",SUBSTITUTE($Y$11,",",":",COLUMNS($Y$12:AD12)-1))+1))))),"0")</f>
        <v>0</v>
      </c>
      <c r="AG11" s="449" t="str">
        <f>IFERROR(IF($Y$11=SUBSTITUTE($Y$11,",","|",COLUMNS($Y$12:AE12)),MID(SUBSTITUTE($Y$11,",","|",COLUMNS($Y$12:AE12)),FIND("|",SUBSTITUTE($Y$11,",","|",COLUMNS($Y$12:AE12)-1))+1,244),MID($Y$11,IF(COLUMNS($Y$12:AE12)=1,1,FIND(":",SUBSTITUTE($Y$11,",",":",COLUMNS($Y$12:AE12)-1))+1),IF(COLUMNS($Y$12:AE12)=1,FIND(",",$Y$11)-1,IF(COLUMNS($Y$12:AE12)=1,1,LEN($Y$11)-LEN(RIGHT(SUBSTITUTE($Y$11,",","|",COLUMNS($Y$12:AE12)),LEN(SUBSTITUTE($Y$11,",","|",COLUMNS($Y$12:AE12)))-FIND("|",SUBSTITUTE($Y$11,",","|",COLUMNS($Y$12:AE12)))))-IF(COLUMNS($Y$12:AE12)=1,1,FIND(":",SUBSTITUTE($Y$11,",",":",COLUMNS($Y$12:AE12)-1))+1))))),"0")</f>
        <v>0</v>
      </c>
      <c r="AH11" s="449" t="str">
        <f>IFERROR(IF($Y$11=SUBSTITUTE($Y$11,",","|",COLUMNS($Y$12:AF12)),MID(SUBSTITUTE($Y$11,",","|",COLUMNS($Y$12:AF12)),FIND("|",SUBSTITUTE($Y$11,",","|",COLUMNS($Y$12:AF12)-1))+1,244),MID($Y$11,IF(COLUMNS($Y$12:AF12)=1,1,FIND(":",SUBSTITUTE($Y$11,",",":",COLUMNS($Y$12:AF12)-1))+1),IF(COLUMNS($Y$12:AF12)=1,FIND(",",$Y$11)-1,IF(COLUMNS($Y$12:AF12)=1,1,LEN($Y$11)-LEN(RIGHT(SUBSTITUTE($Y$11,",","|",COLUMNS($Y$12:AF12)),LEN(SUBSTITUTE($Y$11,",","|",COLUMNS($Y$12:AF12)))-FIND("|",SUBSTITUTE($Y$11,",","|",COLUMNS($Y$12:AF12)))))-IF(COLUMNS($Y$12:AF12)=1,1,FIND(":",SUBSTITUTE($Y$11,",",":",COLUMNS($Y$12:AF12)-1))+1))))),"0")</f>
        <v>0</v>
      </c>
      <c r="AI11" s="449" t="str">
        <f>IFERROR(IF($Y$11=SUBSTITUTE($Y$11,",","|",COLUMNS($Y$12:AG12)),MID(SUBSTITUTE($Y$11,",","|",COLUMNS($Y$12:AG12)),FIND("|",SUBSTITUTE($Y$11,",","|",COLUMNS($Y$12:AG12)-1))+1,244),MID($Y$11,IF(COLUMNS($Y$12:AG12)=1,1,FIND(":",SUBSTITUTE($Y$11,",",":",COLUMNS($Y$12:AG12)-1))+1),IF(COLUMNS($Y$12:AG12)=1,FIND(",",$Y$11)-1,IF(COLUMNS($Y$12:AG12)=1,1,LEN($Y$11)-LEN(RIGHT(SUBSTITUTE($Y$11,",","|",COLUMNS($Y$12:AG12)),LEN(SUBSTITUTE($Y$11,",","|",COLUMNS($Y$12:AG12)))-FIND("|",SUBSTITUTE($Y$11,",","|",COLUMNS($Y$12:AG12)))))-IF(COLUMNS($Y$12:AG12)=1,1,FIND(":",SUBSTITUTE($Y$11,",",":",COLUMNS($Y$12:AG12)-1))+1))))),"0")</f>
        <v>0</v>
      </c>
      <c r="AJ11" s="449" t="str">
        <f>IFERROR(IF($Y$11=SUBSTITUTE($Y$11,",","|",COLUMNS($Y$12:AH12)),MID(SUBSTITUTE($Y$11,",","|",COLUMNS($Y$12:AH12)),FIND("|",SUBSTITUTE($Y$11,",","|",COLUMNS($Y$12:AH12)-1))+1,244),MID($Y$11,IF(COLUMNS($Y$12:AH12)=1,1,FIND(":",SUBSTITUTE($Y$11,",",":",COLUMNS($Y$12:AH12)-1))+1),IF(COLUMNS($Y$12:AH12)=1,FIND(",",$Y$11)-1,IF(COLUMNS($Y$12:AH12)=1,1,LEN($Y$11)-LEN(RIGHT(SUBSTITUTE($Y$11,",","|",COLUMNS($Y$12:AH12)),LEN(SUBSTITUTE($Y$11,",","|",COLUMNS($Y$12:AH12)))-FIND("|",SUBSTITUTE($Y$11,",","|",COLUMNS($Y$12:AH12)))))-IF(COLUMNS($Y$12:AH12)=1,1,FIND(":",SUBSTITUTE($Y$11,",",":",COLUMNS($Y$12:AH12)-1))+1))))),"0")</f>
        <v>0</v>
      </c>
      <c r="AK11" s="449" t="str">
        <f>IFERROR(IF($Y$11=SUBSTITUTE($Y$11,",","|",COLUMNS($Y$12:AI12)),MID(SUBSTITUTE($Y$11,",","|",COLUMNS($Y$12:AI12)),FIND("|",SUBSTITUTE($Y$11,",","|",COLUMNS($Y$12:AI12)-1))+1,244),MID($Y$11,IF(COLUMNS($Y$12:AI12)=1,1,FIND(":",SUBSTITUTE($Y$11,",",":",COLUMNS($Y$12:AI12)-1))+1),IF(COLUMNS($Y$12:AI12)=1,FIND(",",$Y$11)-1,IF(COLUMNS($Y$12:AI12)=1,1,LEN($Y$11)-LEN(RIGHT(SUBSTITUTE($Y$11,",","|",COLUMNS($Y$12:AI12)),LEN(SUBSTITUTE($Y$11,",","|",COLUMNS($Y$12:AI12)))-FIND("|",SUBSTITUTE($Y$11,",","|",COLUMNS($Y$12:AI12)))))-IF(COLUMNS($Y$12:AI12)=1,1,FIND(":",SUBSTITUTE($Y$11,",",":",COLUMNS($Y$12:AI12)-1))+1))))),"0")</f>
        <v>0</v>
      </c>
      <c r="AL11" s="449" t="str">
        <f>IFERROR(IF($Y$11=SUBSTITUTE($Y$11,",","|",COLUMNS($Y$12:AJ12)),MID(SUBSTITUTE($Y$11,",","|",COLUMNS($Y$12:AJ12)),FIND("|",SUBSTITUTE($Y$11,",","|",COLUMNS($Y$12:AJ12)-1))+1,244),MID($Y$11,IF(COLUMNS($Y$12:AJ12)=1,1,FIND(":",SUBSTITUTE($Y$11,",",":",COLUMNS($Y$12:AJ12)-1))+1),IF(COLUMNS($Y$12:AJ12)=1,FIND(",",$Y$11)-1,IF(COLUMNS($Y$12:AJ12)=1,1,LEN($Y$11)-LEN(RIGHT(SUBSTITUTE($Y$11,",","|",COLUMNS($Y$12:AJ12)),LEN(SUBSTITUTE($Y$11,",","|",COLUMNS($Y$12:AJ12)))-FIND("|",SUBSTITUTE($Y$11,",","|",COLUMNS($Y$12:AJ12)))))-IF(COLUMNS($Y$12:AJ12)=1,1,FIND(":",SUBSTITUTE($Y$11,",",":",COLUMNS($Y$12:AJ12)-1))+1))))),"0")</f>
        <v>0</v>
      </c>
      <c r="AN11" s="447">
        <v>3</v>
      </c>
      <c r="AO11" s="447" t="str">
        <f>IFERROR('Course Report'!F12,"")</f>
        <v/>
      </c>
    </row>
    <row r="12" spans="3:41" ht="14.45" customHeight="1" x14ac:dyDescent="0.25">
      <c r="C12" s="454">
        <v>1</v>
      </c>
      <c r="D12" s="455" t="str">
        <f>IFERROR(IF(VALUE(AA9)=1,AO9,"NA"),"NA")</f>
        <v>NA</v>
      </c>
      <c r="E12" s="767" t="str">
        <f>'Course Information'!B24</f>
        <v>An ability to apply knowledge, techniques, skills and modern tools of mathematics, science, engineering, and technology to solve broadly-defined engineering problems appropriate to the discipline;</v>
      </c>
      <c r="F12" s="768"/>
      <c r="G12" s="768"/>
      <c r="H12" s="768"/>
      <c r="I12" s="456" t="s">
        <v>445</v>
      </c>
      <c r="J12" s="468" t="str">
        <f>IF('PI Improvement Report'!E17="","NA",'PI Improvement Report'!E17)</f>
        <v>NA</v>
      </c>
      <c r="M12" s="454">
        <v>1</v>
      </c>
      <c r="N12" s="455" t="str">
        <f>IFERROR(IF(VALUE(AA10)=1,AO9,"NA"),"NA")</f>
        <v>NA</v>
      </c>
      <c r="O12" s="767" t="str">
        <f>'Course Information'!B25</f>
        <v xml:space="preserve">An ability to design systems, components, or processes meeting specified needs for broadly-defined engineering problems appropriate to the discipline; </v>
      </c>
      <c r="P12" s="768"/>
      <c r="Q12" s="768"/>
      <c r="R12" s="768"/>
      <c r="S12" s="456" t="s">
        <v>452</v>
      </c>
      <c r="T12" s="457" t="str">
        <f>IF('PI Improvement Report'!E22="","NA",'PI Improvement Report'!E22)</f>
        <v>NA</v>
      </c>
      <c r="W12" s="282">
        <f t="shared" si="0"/>
        <v>0</v>
      </c>
      <c r="X12" s="447" t="s">
        <v>314</v>
      </c>
      <c r="Y12" s="447" cm="1">
        <f t="array" ref="Y12:Z12">'Course Information'!C27:D27</f>
        <v>0</v>
      </c>
      <c r="Z12" s="448">
        <v>0</v>
      </c>
      <c r="AA12" s="449">
        <f>IF(W12&gt;1,(IFERROR(IF($Y$12=SUBSTITUTE($Y$12,",","|",COLUMNS($Y$13:Y13)),MID(SUBSTITUTE($Y$12,",","|",COLUMNS($Y$13:Y13)),FIND("|",SUBSTITUTE($Y$12,",","|",COLUMNS($Y$13:Y13)-1))+1,244),MID($Y$12,IF(COLUMNS($Y$13:Y13)=1,1,FIND(":",SUBSTITUTE($Y$12,",",":",COLUMNS($Y$13:Y13)-1))+1),IF(COLUMNS($Y$13:Y13)=1,FIND(",",$Y$12)-1,IF(COLUMNS($Y$13:Y13)=1,1,LEN($Y$12)-LEN(RIGHT(SUBSTITUTE($Y$12,",","|",COLUMNS($Y$13:Y13)),LEN(SUBSTITUTE($Y$12,",","|",COLUMNS($Y$13:Y13)))-FIND("|",SUBSTITUTE($Y$12,",","|",COLUMNS($Y$13:Y13)))))-IF(COLUMNS($Y$13:Y13)=1,1,FIND(":",SUBSTITUTE($Y$12,",",":",COLUMNS($Y$13:Y13)-1))+1))))),"0")),Y12)</f>
        <v>0</v>
      </c>
      <c r="AB12" s="449" t="str">
        <f>IFERROR(IF($Y$12=SUBSTITUTE($Y$12,",","|",COLUMNS($Y$13:Z13)),MID(SUBSTITUTE($Y$12,",","|",COLUMNS($Y$13:Z13)),FIND("|",SUBSTITUTE($Y$12,",","|",COLUMNS($Y$13:Z13)-1))+1,244),MID($Y$12,IF(COLUMNS($Y$13:Z13)=1,1,FIND(":",SUBSTITUTE($Y$12,",",":",COLUMNS($Y$13:Z13)-1))+1),IF(COLUMNS($Y$13:Z13)=1,FIND(",",$Y$12)-1,IF(COLUMNS($Y$13:Z13)=1,1,LEN($Y$12)-LEN(RIGHT(SUBSTITUTE($Y$12,",","|",COLUMNS($Y$13:Z13)),LEN(SUBSTITUTE($Y$12,",","|",COLUMNS($Y$13:Z13)))-FIND("|",SUBSTITUTE($Y$12,",","|",COLUMNS($Y$13:Z13)))))-IF(COLUMNS($Y$13:Z13)=1,1,FIND(":",SUBSTITUTE($Y$12,",",":",COLUMNS($Y$13:Z13)-1))+1))))),"0")</f>
        <v>0</v>
      </c>
      <c r="AC12" s="449" t="str">
        <f>IFERROR(IF($Y$12=SUBSTITUTE($Y$12,",","|",COLUMNS($Y$13:AA13)),MID(SUBSTITUTE($Y$12,",","|",COLUMNS($Y$13:AA13)),FIND("|",SUBSTITUTE($Y$12,",","|",COLUMNS($Y$13:AA13)-1))+1,244),MID($Y$12,IF(COLUMNS($Y$13:AA13)=1,1,FIND(":",SUBSTITUTE($Y$12,",",":",COLUMNS($Y$13:AA13)-1))+1),IF(COLUMNS($Y$13:AA13)=1,FIND(",",$Y$12)-1,IF(COLUMNS($Y$13:AA13)=1,1,LEN($Y$12)-LEN(RIGHT(SUBSTITUTE($Y$12,",","|",COLUMNS($Y$13:AA13)),LEN(SUBSTITUTE($Y$12,",","|",COLUMNS($Y$13:AA13)))-FIND("|",SUBSTITUTE($Y$12,",","|",COLUMNS($Y$13:AA13)))))-IF(COLUMNS($Y$13:AA13)=1,1,FIND(":",SUBSTITUTE($Y$12,",",":",COLUMNS($Y$13:AA13)-1))+1))))),"0")</f>
        <v>0</v>
      </c>
      <c r="AD12" s="449" t="str">
        <f>IFERROR(IF($Y$12=SUBSTITUTE($Y$12,",","|",COLUMNS($Y$13:AB13)),MID(SUBSTITUTE($Y$12,",","|",COLUMNS($Y$13:AB13)),FIND("|",SUBSTITUTE($Y$12,",","|",COLUMNS($Y$13:AB13)-1))+1,244),MID($Y$12,IF(COLUMNS($Y$13:AB13)=1,1,FIND(":",SUBSTITUTE($Y$12,",",":",COLUMNS($Y$13:AB13)-1))+1),IF(COLUMNS($Y$13:AB13)=1,FIND(",",$Y$12)-1,IF(COLUMNS($Y$13:AB13)=1,1,LEN($Y$12)-LEN(RIGHT(SUBSTITUTE($Y$12,",","|",COLUMNS($Y$13:AB13)),LEN(SUBSTITUTE($Y$12,",","|",COLUMNS($Y$13:AB13)))-FIND("|",SUBSTITUTE($Y$12,",","|",COLUMNS($Y$13:AB13)))))-IF(COLUMNS($Y$13:AB13)=1,1,FIND(":",SUBSTITUTE($Y$12,",",":",COLUMNS($Y$13:AB13)-1))+1))))),"0")</f>
        <v>0</v>
      </c>
      <c r="AE12" s="449" t="str">
        <f>IFERROR(IF($Y$12=SUBSTITUTE($Y$12,",","|",COLUMNS($Y$13:AC13)),MID(SUBSTITUTE($Y$12,",","|",COLUMNS($Y$13:AC13)),FIND("|",SUBSTITUTE($Y$12,",","|",COLUMNS($Y$13:AC13)-1))+1,244),MID($Y$12,IF(COLUMNS($Y$13:AC13)=1,1,FIND(":",SUBSTITUTE($Y$12,",",":",COLUMNS($Y$13:AC13)-1))+1),IF(COLUMNS($Y$13:AC13)=1,FIND(",",$Y$12)-1,IF(COLUMNS($Y$13:AC13)=1,1,LEN($Y$12)-LEN(RIGHT(SUBSTITUTE($Y$12,",","|",COLUMNS($Y$13:AC13)),LEN(SUBSTITUTE($Y$12,",","|",COLUMNS($Y$13:AC13)))-FIND("|",SUBSTITUTE($Y$12,",","|",COLUMNS($Y$13:AC13)))))-IF(COLUMNS($Y$13:AC13)=1,1,FIND(":",SUBSTITUTE($Y$12,",",":",COLUMNS($Y$13:AC13)-1))+1))))),"0")</f>
        <v>0</v>
      </c>
      <c r="AF12" s="449" t="str">
        <f>IFERROR(IF($Y$12=SUBSTITUTE($Y$12,",","|",COLUMNS($Y$13:AD13)),MID(SUBSTITUTE($Y$12,",","|",COLUMNS($Y$13:AD13)),FIND("|",SUBSTITUTE($Y$12,",","|",COLUMNS($Y$13:AD13)-1))+1,244),MID($Y$12,IF(COLUMNS($Y$13:AD13)=1,1,FIND(":",SUBSTITUTE($Y$12,",",":",COLUMNS($Y$13:AD13)-1))+1),IF(COLUMNS($Y$13:AD13)=1,FIND(",",$Y$12)-1,IF(COLUMNS($Y$13:AD13)=1,1,LEN($Y$12)-LEN(RIGHT(SUBSTITUTE($Y$12,",","|",COLUMNS($Y$13:AD13)),LEN(SUBSTITUTE($Y$12,",","|",COLUMNS($Y$13:AD13)))-FIND("|",SUBSTITUTE($Y$12,",","|",COLUMNS($Y$13:AD13)))))-IF(COLUMNS($Y$13:AD13)=1,1,FIND(":",SUBSTITUTE($Y$12,",",":",COLUMNS($Y$13:AD13)-1))+1))))),"0")</f>
        <v>0</v>
      </c>
      <c r="AG12" s="449" t="str">
        <f>IFERROR(IF($Y$12=SUBSTITUTE($Y$12,",","|",COLUMNS($Y$13:AE13)),MID(SUBSTITUTE($Y$12,",","|",COLUMNS($Y$13:AE13)),FIND("|",SUBSTITUTE($Y$12,",","|",COLUMNS($Y$13:AE13)-1))+1,244),MID($Y$12,IF(COLUMNS($Y$13:AE13)=1,1,FIND(":",SUBSTITUTE($Y$12,",",":",COLUMNS($Y$13:AE13)-1))+1),IF(COLUMNS($Y$13:AE13)=1,FIND(",",$Y$12)-1,IF(COLUMNS($Y$13:AE13)=1,1,LEN($Y$12)-LEN(RIGHT(SUBSTITUTE($Y$12,",","|",COLUMNS($Y$13:AE13)),LEN(SUBSTITUTE($Y$12,",","|",COLUMNS($Y$13:AE13)))-FIND("|",SUBSTITUTE($Y$12,",","|",COLUMNS($Y$13:AE13)))))-IF(COLUMNS($Y$13:AE13)=1,1,FIND(":",SUBSTITUTE($Y$12,",",":",COLUMNS($Y$13:AE13)-1))+1))))),"0")</f>
        <v>0</v>
      </c>
      <c r="AH12" s="449" t="str">
        <f>IFERROR(IF($Y$12=SUBSTITUTE($Y$12,",","|",COLUMNS($Y$13:AF13)),MID(SUBSTITUTE($Y$12,",","|",COLUMNS($Y$13:AF13)),FIND("|",SUBSTITUTE($Y$12,",","|",COLUMNS($Y$13:AF13)-1))+1,244),MID($Y$12,IF(COLUMNS($Y$13:AF13)=1,1,FIND(":",SUBSTITUTE($Y$12,",",":",COLUMNS($Y$13:AF13)-1))+1),IF(COLUMNS($Y$13:AF13)=1,FIND(",",$Y$12)-1,IF(COLUMNS($Y$13:AF13)=1,1,LEN($Y$12)-LEN(RIGHT(SUBSTITUTE($Y$12,",","|",COLUMNS($Y$13:AF13)),LEN(SUBSTITUTE($Y$12,",","|",COLUMNS($Y$13:AF13)))-FIND("|",SUBSTITUTE($Y$12,",","|",COLUMNS($Y$13:AF13)))))-IF(COLUMNS($Y$13:AF13)=1,1,FIND(":",SUBSTITUTE($Y$12,",",":",COLUMNS($Y$13:AF13)-1))+1))))),"0")</f>
        <v>0</v>
      </c>
      <c r="AI12" s="449" t="str">
        <f>IFERROR(IF($Y$12=SUBSTITUTE($Y$12,",","|",COLUMNS($Y$13:AG13)),MID(SUBSTITUTE($Y$12,",","|",COLUMNS($Y$13:AG13)),FIND("|",SUBSTITUTE($Y$12,",","|",COLUMNS($Y$13:AG13)-1))+1,244),MID($Y$12,IF(COLUMNS($Y$13:AG13)=1,1,FIND(":",SUBSTITUTE($Y$12,",",":",COLUMNS($Y$13:AG13)-1))+1),IF(COLUMNS($Y$13:AG13)=1,FIND(",",$Y$12)-1,IF(COLUMNS($Y$13:AG13)=1,1,LEN($Y$12)-LEN(RIGHT(SUBSTITUTE($Y$12,",","|",COLUMNS($Y$13:AG13)),LEN(SUBSTITUTE($Y$12,",","|",COLUMNS($Y$13:AG13)))-FIND("|",SUBSTITUTE($Y$12,",","|",COLUMNS($Y$13:AG13)))))-IF(COLUMNS($Y$13:AG13)=1,1,FIND(":",SUBSTITUTE($Y$12,",",":",COLUMNS($Y$13:AG13)-1))+1))))),"0")</f>
        <v>0</v>
      </c>
      <c r="AJ12" s="449" t="str">
        <f>IFERROR(IF($Y$12=SUBSTITUTE($Y$12,",","|",COLUMNS($Y$13:AH13)),MID(SUBSTITUTE($Y$12,",","|",COLUMNS($Y$13:AH13)),FIND("|",SUBSTITUTE($Y$12,",","|",COLUMNS($Y$13:AH13)-1))+1,244),MID($Y$12,IF(COLUMNS($Y$13:AH13)=1,1,FIND(":",SUBSTITUTE($Y$12,",",":",COLUMNS($Y$13:AH13)-1))+1),IF(COLUMNS($Y$13:AH13)=1,FIND(",",$Y$12)-1,IF(COLUMNS($Y$13:AH13)=1,1,LEN($Y$12)-LEN(RIGHT(SUBSTITUTE($Y$12,",","|",COLUMNS($Y$13:AH13)),LEN(SUBSTITUTE($Y$12,",","|",COLUMNS($Y$13:AH13)))-FIND("|",SUBSTITUTE($Y$12,",","|",COLUMNS($Y$13:AH13)))))-IF(COLUMNS($Y$13:AH13)=1,1,FIND(":",SUBSTITUTE($Y$12,",",":",COLUMNS($Y$13:AH13)-1))+1))))),"0")</f>
        <v>0</v>
      </c>
      <c r="AK12" s="449" t="str">
        <f>IFERROR(IF($Y$12=SUBSTITUTE($Y$12,",","|",COLUMNS($Y$13:AI13)),MID(SUBSTITUTE($Y$12,",","|",COLUMNS($Y$13:AI13)),FIND("|",SUBSTITUTE($Y$12,",","|",COLUMNS($Y$13:AI13)-1))+1,244),MID($Y$12,IF(COLUMNS($Y$13:AI13)=1,1,FIND(":",SUBSTITUTE($Y$12,",",":",COLUMNS($Y$13:AI13)-1))+1),IF(COLUMNS($Y$13:AI13)=1,FIND(",",$Y$12)-1,IF(COLUMNS($Y$13:AI13)=1,1,LEN($Y$12)-LEN(RIGHT(SUBSTITUTE($Y$12,",","|",COLUMNS($Y$13:AI13)),LEN(SUBSTITUTE($Y$12,",","|",COLUMNS($Y$13:AI13)))-FIND("|",SUBSTITUTE($Y$12,",","|",COLUMNS($Y$13:AI13)))))-IF(COLUMNS($Y$13:AI13)=1,1,FIND(":",SUBSTITUTE($Y$12,",",":",COLUMNS($Y$13:AI13)-1))+1))))),"0")</f>
        <v>0</v>
      </c>
      <c r="AL12" s="449" t="str">
        <f>IFERROR(IF($Y$12=SUBSTITUTE($Y$12,",","|",COLUMNS($Y$13:AJ13)),MID(SUBSTITUTE($Y$12,",","|",COLUMNS($Y$13:AJ13)),FIND("|",SUBSTITUTE($Y$12,",","|",COLUMNS($Y$13:AJ13)-1))+1,244),MID($Y$12,IF(COLUMNS($Y$13:AJ13)=1,1,FIND(":",SUBSTITUTE($Y$12,",",":",COLUMNS($Y$13:AJ13)-1))+1),IF(COLUMNS($Y$13:AJ13)=1,FIND(",",$Y$12)-1,IF(COLUMNS($Y$13:AJ13)=1,1,LEN($Y$12)-LEN(RIGHT(SUBSTITUTE($Y$12,",","|",COLUMNS($Y$13:AJ13)),LEN(SUBSTITUTE($Y$12,",","|",COLUMNS($Y$13:AJ13)))-FIND("|",SUBSTITUTE($Y$12,",","|",COLUMNS($Y$13:AJ13)))))-IF(COLUMNS($Y$13:AJ13)=1,1,FIND(":",SUBSTITUTE($Y$12,",",":",COLUMNS($Y$13:AJ13)-1))+1))))),"0")</f>
        <v>0</v>
      </c>
      <c r="AN12" s="447">
        <v>4</v>
      </c>
      <c r="AO12" s="447" t="str">
        <f>IFERROR('Course Report'!F13,"")</f>
        <v/>
      </c>
    </row>
    <row r="13" spans="3:41" ht="15.75" thickBot="1" x14ac:dyDescent="0.3">
      <c r="C13" s="458">
        <v>2</v>
      </c>
      <c r="D13" s="459" t="str">
        <f>IFERROR(IF(OR(VALUE(AA9)=2,VALUE(AB9)=2),AO10,"NA"),"NA")</f>
        <v>NA</v>
      </c>
      <c r="E13" s="769"/>
      <c r="F13" s="770"/>
      <c r="G13" s="770"/>
      <c r="H13" s="770"/>
      <c r="I13" s="460" t="s">
        <v>446</v>
      </c>
      <c r="J13" s="469" t="str">
        <f>IF('PI Improvement Report'!E18="","NA",'PI Improvement Report'!E18)</f>
        <v>NA</v>
      </c>
      <c r="M13" s="458">
        <v>2</v>
      </c>
      <c r="N13" s="459" t="str">
        <f>IFERROR(IF(OR(VALUE(AA10)=2,VALUE(AB10)=2),AO10,"NA"),"NA")</f>
        <v>NA</v>
      </c>
      <c r="O13" s="769"/>
      <c r="P13" s="770"/>
      <c r="Q13" s="770"/>
      <c r="R13" s="770"/>
      <c r="S13" s="461" t="s">
        <v>453</v>
      </c>
      <c r="T13" s="462" t="str">
        <f>IF('PI Improvement Report'!E23="","NA",'PI Improvement Report'!E23)</f>
        <v>NA</v>
      </c>
      <c r="W13" s="282">
        <f t="shared" si="0"/>
        <v>0</v>
      </c>
      <c r="X13" s="447" t="s">
        <v>315</v>
      </c>
      <c r="Y13" s="447" cm="1">
        <f t="array" ref="Y13:Z13">'Course Information'!C28:D28</f>
        <v>0</v>
      </c>
      <c r="Z13" s="448">
        <v>0</v>
      </c>
      <c r="AA13" s="449">
        <f>IF(W13&gt;1,(IFERROR(IF($Y$13=SUBSTITUTE($Y$13,",","|",COLUMNS($Y$14:Y14)),MID(SUBSTITUTE($Y$13,",","|",COLUMNS($Y$14:Y14)),FIND("|",SUBSTITUTE($Y$13,",","|",COLUMNS($Y$14:Y14)-1))+1,244),MID($Y$13,IF(COLUMNS($Y$14:Y14)=1,1,FIND(":",SUBSTITUTE($Y$13,",",":",COLUMNS($Y$14:Y14)-1))+1),IF(COLUMNS($Y$14:Y14)=1,FIND(",",$Y$13)-1,IF(COLUMNS($Y$14:Y14)=1,1,LEN($Y$13)-LEN(RIGHT(SUBSTITUTE($Y$13,",","|",COLUMNS($Y$14:Y14)),LEN(SUBSTITUTE($Y$13,",","|",COLUMNS($Y$14:Y14)))-FIND("|",SUBSTITUTE($Y$13,",","|",COLUMNS($Y$14:Y14)))))-IF(COLUMNS($Y$14:Y14)=1,1,FIND(":",SUBSTITUTE($Y$13,",",":",COLUMNS($Y$14:Y14)-1))+1))))),"0")),Y13)</f>
        <v>0</v>
      </c>
      <c r="AB13" s="449" t="str">
        <f>IFERROR(IF($Y$13=SUBSTITUTE($Y$13,",","|",COLUMNS($Y$14:Z14)),MID(SUBSTITUTE($Y$13,",","|",COLUMNS($Y$14:Z14)),FIND("|",SUBSTITUTE($Y$13,",","|",COLUMNS($Y$14:Z14)-1))+1,244),MID($Y$13,IF(COLUMNS($Y$14:Z14)=1,1,FIND(":",SUBSTITUTE($Y$13,",",":",COLUMNS($Y$14:Z14)-1))+1),IF(COLUMNS($Y$14:Z14)=1,FIND(",",$Y$13)-1,IF(COLUMNS($Y$14:Z14)=1,1,LEN($Y$13)-LEN(RIGHT(SUBSTITUTE($Y$13,",","|",COLUMNS($Y$14:Z14)),LEN(SUBSTITUTE($Y$13,",","|",COLUMNS($Y$14:Z14)))-FIND("|",SUBSTITUTE($Y$13,",","|",COLUMNS($Y$14:Z14)))))-IF(COLUMNS($Y$14:Z14)=1,1,FIND(":",SUBSTITUTE($Y$13,",",":",COLUMNS($Y$14:Z14)-1))+1))))),"0")</f>
        <v>0</v>
      </c>
      <c r="AC13" s="449" t="str">
        <f>IFERROR(IF($Y$13=SUBSTITUTE($Y$13,",","|",COLUMNS($Y$14:AA14)),MID(SUBSTITUTE($Y$13,",","|",COLUMNS($Y$14:AA14)),FIND("|",SUBSTITUTE($Y$13,",","|",COLUMNS($Y$14:AA14)-1))+1,244),MID($Y$13,IF(COLUMNS($Y$14:AA14)=1,1,FIND(":",SUBSTITUTE($Y$13,",",":",COLUMNS($Y$14:AA14)-1))+1),IF(COLUMNS($Y$14:AA14)=1,FIND(",",$Y$13)-1,IF(COLUMNS($Y$14:AA14)=1,1,LEN($Y$13)-LEN(RIGHT(SUBSTITUTE($Y$13,",","|",COLUMNS($Y$14:AA14)),LEN(SUBSTITUTE($Y$13,",","|",COLUMNS($Y$14:AA14)))-FIND("|",SUBSTITUTE($Y$13,",","|",COLUMNS($Y$14:AA14)))))-IF(COLUMNS($Y$14:AA14)=1,1,FIND(":",SUBSTITUTE($Y$13,",",":",COLUMNS($Y$14:AA14)-1))+1))))),"0")</f>
        <v>0</v>
      </c>
      <c r="AD13" s="449" t="str">
        <f>IFERROR(IF($Y$13=SUBSTITUTE($Y$13,",","|",COLUMNS($Y$14:AB14)),MID(SUBSTITUTE($Y$13,",","|",COLUMNS($Y$14:AB14)),FIND("|",SUBSTITUTE($Y$13,",","|",COLUMNS($Y$14:AB14)-1))+1,244),MID($Y$13,IF(COLUMNS($Y$14:AB14)=1,1,FIND(":",SUBSTITUTE($Y$13,",",":",COLUMNS($Y$14:AB14)-1))+1),IF(COLUMNS($Y$14:AB14)=1,FIND(",",$Y$13)-1,IF(COLUMNS($Y$14:AB14)=1,1,LEN($Y$13)-LEN(RIGHT(SUBSTITUTE($Y$13,",","|",COLUMNS($Y$14:AB14)),LEN(SUBSTITUTE($Y$13,",","|",COLUMNS($Y$14:AB14)))-FIND("|",SUBSTITUTE($Y$13,",","|",COLUMNS($Y$14:AB14)))))-IF(COLUMNS($Y$14:AB14)=1,1,FIND(":",SUBSTITUTE($Y$13,",",":",COLUMNS($Y$14:AB14)-1))+1))))),"0")</f>
        <v>0</v>
      </c>
      <c r="AE13" s="449" t="str">
        <f>IFERROR(IF($Y$13=SUBSTITUTE($Y$13,",","|",COLUMNS($Y$14:AC14)),MID(SUBSTITUTE($Y$13,",","|",COLUMNS($Y$14:AC14)),FIND("|",SUBSTITUTE($Y$13,",","|",COLUMNS($Y$14:AC14)-1))+1,244),MID($Y$13,IF(COLUMNS($Y$14:AC14)=1,1,FIND(":",SUBSTITUTE($Y$13,",",":",COLUMNS($Y$14:AC14)-1))+1),IF(COLUMNS($Y$14:AC14)=1,FIND(",",$Y$13)-1,IF(COLUMNS($Y$14:AC14)=1,1,LEN($Y$13)-LEN(RIGHT(SUBSTITUTE($Y$13,",","|",COLUMNS($Y$14:AC14)),LEN(SUBSTITUTE($Y$13,",","|",COLUMNS($Y$14:AC14)))-FIND("|",SUBSTITUTE($Y$13,",","|",COLUMNS($Y$14:AC14)))))-IF(COLUMNS($Y$14:AC14)=1,1,FIND(":",SUBSTITUTE($Y$13,",",":",COLUMNS($Y$14:AC14)-1))+1))))),"0")</f>
        <v>0</v>
      </c>
      <c r="AF13" s="449" t="str">
        <f>IFERROR(IF($Y$13=SUBSTITUTE($Y$13,",","|",COLUMNS($Y$14:AD14)),MID(SUBSTITUTE($Y$13,",","|",COLUMNS($Y$14:AD14)),FIND("|",SUBSTITUTE($Y$13,",","|",COLUMNS($Y$14:AD14)-1))+1,244),MID($Y$13,IF(COLUMNS($Y$14:AD14)=1,1,FIND(":",SUBSTITUTE($Y$13,",",":",COLUMNS($Y$14:AD14)-1))+1),IF(COLUMNS($Y$14:AD14)=1,FIND(",",$Y$13)-1,IF(COLUMNS($Y$14:AD14)=1,1,LEN($Y$13)-LEN(RIGHT(SUBSTITUTE($Y$13,",","|",COLUMNS($Y$14:AD14)),LEN(SUBSTITUTE($Y$13,",","|",COLUMNS($Y$14:AD14)))-FIND("|",SUBSTITUTE($Y$13,",","|",COLUMNS($Y$14:AD14)))))-IF(COLUMNS($Y$14:AD14)=1,1,FIND(":",SUBSTITUTE($Y$13,",",":",COLUMNS($Y$14:AD14)-1))+1))))),"0")</f>
        <v>0</v>
      </c>
      <c r="AG13" s="449" t="str">
        <f>IFERROR(IF($Y$13=SUBSTITUTE($Y$13,",","|",COLUMNS($Y$14:AE14)),MID(SUBSTITUTE($Y$13,",","|",COLUMNS($Y$14:AE14)),FIND("|",SUBSTITUTE($Y$13,",","|",COLUMNS($Y$14:AE14)-1))+1,244),MID($Y$13,IF(COLUMNS($Y$14:AE14)=1,1,FIND(":",SUBSTITUTE($Y$13,",",":",COLUMNS($Y$14:AE14)-1))+1),IF(COLUMNS($Y$14:AE14)=1,FIND(",",$Y$13)-1,IF(COLUMNS($Y$14:AE14)=1,1,LEN($Y$13)-LEN(RIGHT(SUBSTITUTE($Y$13,",","|",COLUMNS($Y$14:AE14)),LEN(SUBSTITUTE($Y$13,",","|",COLUMNS($Y$14:AE14)))-FIND("|",SUBSTITUTE($Y$13,",","|",COLUMNS($Y$14:AE14)))))-IF(COLUMNS($Y$14:AE14)=1,1,FIND(":",SUBSTITUTE($Y$13,",",":",COLUMNS($Y$14:AE14)-1))+1))))),"0")</f>
        <v>0</v>
      </c>
      <c r="AH13" s="449" t="str">
        <f>IFERROR(IF($Y$13=SUBSTITUTE($Y$13,",","|",COLUMNS($Y$14:AF14)),MID(SUBSTITUTE($Y$13,",","|",COLUMNS($Y$14:AF14)),FIND("|",SUBSTITUTE($Y$13,",","|",COLUMNS($Y$14:AF14)-1))+1,244),MID($Y$13,IF(COLUMNS($Y$14:AF14)=1,1,FIND(":",SUBSTITUTE($Y$13,",",":",COLUMNS($Y$14:AF14)-1))+1),IF(COLUMNS($Y$14:AF14)=1,FIND(",",$Y$13)-1,IF(COLUMNS($Y$14:AF14)=1,1,LEN($Y$13)-LEN(RIGHT(SUBSTITUTE($Y$13,",","|",COLUMNS($Y$14:AF14)),LEN(SUBSTITUTE($Y$13,",","|",COLUMNS($Y$14:AF14)))-FIND("|",SUBSTITUTE($Y$13,",","|",COLUMNS($Y$14:AF14)))))-IF(COLUMNS($Y$14:AF14)=1,1,FIND(":",SUBSTITUTE($Y$13,",",":",COLUMNS($Y$14:AF14)-1))+1))))),"0")</f>
        <v>0</v>
      </c>
      <c r="AI13" s="449" t="str">
        <f>IFERROR(IF($Y$13=SUBSTITUTE($Y$13,",","|",COLUMNS($Y$14:AG14)),MID(SUBSTITUTE($Y$13,",","|",COLUMNS($Y$14:AG14)),FIND("|",SUBSTITUTE($Y$13,",","|",COLUMNS($Y$14:AG14)-1))+1,244),MID($Y$13,IF(COLUMNS($Y$14:AG14)=1,1,FIND(":",SUBSTITUTE($Y$13,",",":",COLUMNS($Y$14:AG14)-1))+1),IF(COLUMNS($Y$14:AG14)=1,FIND(",",$Y$13)-1,IF(COLUMNS($Y$14:AG14)=1,1,LEN($Y$13)-LEN(RIGHT(SUBSTITUTE($Y$13,",","|",COLUMNS($Y$14:AG14)),LEN(SUBSTITUTE($Y$13,",","|",COLUMNS($Y$14:AG14)))-FIND("|",SUBSTITUTE($Y$13,",","|",COLUMNS($Y$14:AG14)))))-IF(COLUMNS($Y$14:AG14)=1,1,FIND(":",SUBSTITUTE($Y$13,",",":",COLUMNS($Y$14:AG14)-1))+1))))),"0")</f>
        <v>0</v>
      </c>
      <c r="AJ13" s="449" t="str">
        <f>IFERROR(IF($Y$13=SUBSTITUTE($Y$13,",","|",COLUMNS($Y$14:AH14)),MID(SUBSTITUTE($Y$13,",","|",COLUMNS($Y$14:AH14)),FIND("|",SUBSTITUTE($Y$13,",","|",COLUMNS($Y$14:AH14)-1))+1,244),MID($Y$13,IF(COLUMNS($Y$14:AH14)=1,1,FIND(":",SUBSTITUTE($Y$13,",",":",COLUMNS($Y$14:AH14)-1))+1),IF(COLUMNS($Y$14:AH14)=1,FIND(",",$Y$13)-1,IF(COLUMNS($Y$14:AH14)=1,1,LEN($Y$13)-LEN(RIGHT(SUBSTITUTE($Y$13,",","|",COLUMNS($Y$14:AH14)),LEN(SUBSTITUTE($Y$13,",","|",COLUMNS($Y$14:AH14)))-FIND("|",SUBSTITUTE($Y$13,",","|",COLUMNS($Y$14:AH14)))))-IF(COLUMNS($Y$14:AH14)=1,1,FIND(":",SUBSTITUTE($Y$13,",",":",COLUMNS($Y$14:AH14)-1))+1))))),"0")</f>
        <v>0</v>
      </c>
      <c r="AK13" s="449" t="str">
        <f>IFERROR(IF($Y$13=SUBSTITUTE($Y$13,",","|",COLUMNS($Y$14:AI14)),MID(SUBSTITUTE($Y$13,",","|",COLUMNS($Y$14:AI14)),FIND("|",SUBSTITUTE($Y$13,",","|",COLUMNS($Y$14:AI14)-1))+1,244),MID($Y$13,IF(COLUMNS($Y$14:AI14)=1,1,FIND(":",SUBSTITUTE($Y$13,",",":",COLUMNS($Y$14:AI14)-1))+1),IF(COLUMNS($Y$14:AI14)=1,FIND(",",$Y$13)-1,IF(COLUMNS($Y$14:AI14)=1,1,LEN($Y$13)-LEN(RIGHT(SUBSTITUTE($Y$13,",","|",COLUMNS($Y$14:AI14)),LEN(SUBSTITUTE($Y$13,",","|",COLUMNS($Y$14:AI14)))-FIND("|",SUBSTITUTE($Y$13,",","|",COLUMNS($Y$14:AI14)))))-IF(COLUMNS($Y$14:AI14)=1,1,FIND(":",SUBSTITUTE($Y$13,",",":",COLUMNS($Y$14:AI14)-1))+1))))),"0")</f>
        <v>0</v>
      </c>
      <c r="AL13" s="449" t="str">
        <f>IFERROR(IF($Y$13=SUBSTITUTE($Y$13,",","|",COLUMNS($Y$14:AJ14)),MID(SUBSTITUTE($Y$13,",","|",COLUMNS($Y$14:AJ14)),FIND("|",SUBSTITUTE($Y$13,",","|",COLUMNS($Y$14:AJ14)-1))+1,244),MID($Y$13,IF(COLUMNS($Y$14:AJ14)=1,1,FIND(":",SUBSTITUTE($Y$13,",",":",COLUMNS($Y$14:AJ14)-1))+1),IF(COLUMNS($Y$14:AJ14)=1,FIND(",",$Y$13)-1,IF(COLUMNS($Y$14:AJ14)=1,1,LEN($Y$13)-LEN(RIGHT(SUBSTITUTE($Y$13,",","|",COLUMNS($Y$14:AJ14)),LEN(SUBSTITUTE($Y$13,",","|",COLUMNS($Y$14:AJ14)))-FIND("|",SUBSTITUTE($Y$13,",","|",COLUMNS($Y$14:AJ14)))))-IF(COLUMNS($Y$14:AJ14)=1,1,FIND(":",SUBSTITUTE($Y$13,",",":",COLUMNS($Y$14:AJ14)-1))+1))))),"0")</f>
        <v>0</v>
      </c>
      <c r="AN13" s="447">
        <v>5</v>
      </c>
      <c r="AO13" s="447" t="str">
        <f>IFERROR('Course Report'!F14,"")</f>
        <v/>
      </c>
    </row>
    <row r="14" spans="3:41" x14ac:dyDescent="0.25">
      <c r="C14" s="458">
        <v>3</v>
      </c>
      <c r="D14" s="459" t="str">
        <f>IFERROR(IF(OR(VALUE(AA9)=3,VALUE(AB9)=3,VALUE(AC9)=3),AO11,"NA"),"NA")</f>
        <v>NA</v>
      </c>
      <c r="E14" s="769"/>
      <c r="F14" s="770"/>
      <c r="G14" s="770"/>
      <c r="H14" s="770"/>
      <c r="I14" s="460" t="s">
        <v>447</v>
      </c>
      <c r="J14" s="469" t="str">
        <f>IF('PI Improvement Report'!E19="","NA",'PI Improvement Report'!E19)</f>
        <v>NA</v>
      </c>
      <c r="M14" s="458">
        <v>3</v>
      </c>
      <c r="N14" s="459" t="str">
        <f>IFERROR(IF(OR(VALUE(AA10)=3,VALUE(AB10)=3,VALUE(AC10)=3),AO11,"NA"),"NA")</f>
        <v>NA</v>
      </c>
      <c r="O14" s="769"/>
      <c r="P14" s="770"/>
      <c r="Q14" s="770"/>
      <c r="R14" s="771"/>
      <c r="S14" s="754"/>
      <c r="T14" s="755"/>
      <c r="W14" s="282">
        <f t="shared" si="0"/>
        <v>0</v>
      </c>
      <c r="X14" s="447" t="s">
        <v>316</v>
      </c>
      <c r="Y14" s="447" cm="1">
        <f t="array" ref="Y14:Z14">'Course Information'!C29:D29</f>
        <v>0</v>
      </c>
      <c r="Z14" s="448">
        <v>0</v>
      </c>
      <c r="AA14" s="449">
        <f>IF(W14&gt;1,(IFERROR(IF($Y$14=SUBSTITUTE($Y$14,",","|",COLUMNS($Y$15:Y15)),MID(SUBSTITUTE($Y$14,",","|",COLUMNS($Y$15:Y15)),FIND("|",SUBSTITUTE($Y$14,",","|",COLUMNS($Y$15:Y15)-1))+1,244),MID($Y$14,IF(COLUMNS($Y$15:Y15)=1,1,FIND(":",SUBSTITUTE($Y$14,",",":",COLUMNS($Y$15:Y15)-1))+1),IF(COLUMNS($Y$15:Y15)=1,FIND(",",$Y$14)-1,IF(COLUMNS($Y$15:Y15)=1,1,LEN($Y$14)-LEN(RIGHT(SUBSTITUTE($Y$14,",","|",COLUMNS($Y$15:Y15)),LEN(SUBSTITUTE($Y$14,",","|",COLUMNS($Y$15:Y15)))-FIND("|",SUBSTITUTE($Y$14,",","|",COLUMNS($Y$15:Y15)))))-IF(COLUMNS($Y$15:Y15)=1,1,FIND(":",SUBSTITUTE($Y$14,",",":",COLUMNS($Y$15:Y15)-1))+1))))),"0")),Y14)</f>
        <v>0</v>
      </c>
      <c r="AB14" s="449" t="str">
        <f>IFERROR(IF($Y$14=SUBSTITUTE($Y$14,",","|",COLUMNS($Y$15:Z15)),MID(SUBSTITUTE($Y$14,",","|",COLUMNS($Y$15:Z15)),FIND("|",SUBSTITUTE($Y$14,",","|",COLUMNS($Y$15:Z15)-1))+1,244),MID($Y$14,IF(COLUMNS($Y$15:Z15)=1,1,FIND(":",SUBSTITUTE($Y$14,",",":",COLUMNS($Y$15:Z15)-1))+1),IF(COLUMNS($Y$15:Z15)=1,FIND(",",$Y$14)-1,IF(COLUMNS($Y$15:Z15)=1,1,LEN($Y$14)-LEN(RIGHT(SUBSTITUTE($Y$14,",","|",COLUMNS($Y$15:Z15)),LEN(SUBSTITUTE($Y$14,",","|",COLUMNS($Y$15:Z15)))-FIND("|",SUBSTITUTE($Y$14,",","|",COLUMNS($Y$15:Z15)))))-IF(COLUMNS($Y$15:Z15)=1,1,FIND(":",SUBSTITUTE($Y$14,",",":",COLUMNS($Y$15:Z15)-1))+1))))),"0")</f>
        <v>0</v>
      </c>
      <c r="AC14" s="449" t="str">
        <f>IFERROR(IF($Y$14=SUBSTITUTE($Y$14,",","|",COLUMNS($Y$15:AA15)),MID(SUBSTITUTE($Y$14,",","|",COLUMNS($Y$15:AA15)),FIND("|",SUBSTITUTE($Y$14,",","|",COLUMNS($Y$15:AA15)-1))+1,244),MID($Y$14,IF(COLUMNS($Y$15:AA15)=1,1,FIND(":",SUBSTITUTE($Y$14,",",":",COLUMNS($Y$15:AA15)-1))+1),IF(COLUMNS($Y$15:AA15)=1,FIND(",",$Y$14)-1,IF(COLUMNS($Y$15:AA15)=1,1,LEN($Y$14)-LEN(RIGHT(SUBSTITUTE($Y$14,",","|",COLUMNS($Y$15:AA15)),LEN(SUBSTITUTE($Y$14,",","|",COLUMNS($Y$15:AA15)))-FIND("|",SUBSTITUTE($Y$14,",","|",COLUMNS($Y$15:AA15)))))-IF(COLUMNS($Y$15:AA15)=1,1,FIND(":",SUBSTITUTE($Y$14,",",":",COLUMNS($Y$15:AA15)-1))+1))))),"0")</f>
        <v>0</v>
      </c>
      <c r="AD14" s="449" t="str">
        <f>IFERROR(IF($Y$14=SUBSTITUTE($Y$14,",","|",COLUMNS($Y$15:AB15)),MID(SUBSTITUTE($Y$14,",","|",COLUMNS($Y$15:AB15)),FIND("|",SUBSTITUTE($Y$14,",","|",COLUMNS($Y$15:AB15)-1))+1,244),MID($Y$14,IF(COLUMNS($Y$15:AB15)=1,1,FIND(":",SUBSTITUTE($Y$14,",",":",COLUMNS($Y$15:AB15)-1))+1),IF(COLUMNS($Y$15:AB15)=1,FIND(",",$Y$14)-1,IF(COLUMNS($Y$15:AB15)=1,1,LEN($Y$14)-LEN(RIGHT(SUBSTITUTE($Y$14,",","|",COLUMNS($Y$15:AB15)),LEN(SUBSTITUTE($Y$14,",","|",COLUMNS($Y$15:AB15)))-FIND("|",SUBSTITUTE($Y$14,",","|",COLUMNS($Y$15:AB15)))))-IF(COLUMNS($Y$15:AB15)=1,1,FIND(":",SUBSTITUTE($Y$14,",",":",COLUMNS($Y$15:AB15)-1))+1))))),"0")</f>
        <v>0</v>
      </c>
      <c r="AE14" s="449" t="str">
        <f>IFERROR(IF($Y$14=SUBSTITUTE($Y$14,",","|",COLUMNS($Y$15:AC15)),MID(SUBSTITUTE($Y$14,",","|",COLUMNS($Y$15:AC15)),FIND("|",SUBSTITUTE($Y$14,",","|",COLUMNS($Y$15:AC15)-1))+1,244),MID($Y$14,IF(COLUMNS($Y$15:AC15)=1,1,FIND(":",SUBSTITUTE($Y$14,",",":",COLUMNS($Y$15:AC15)-1))+1),IF(COLUMNS($Y$15:AC15)=1,FIND(",",$Y$14)-1,IF(COLUMNS($Y$15:AC15)=1,1,LEN($Y$14)-LEN(RIGHT(SUBSTITUTE($Y$14,",","|",COLUMNS($Y$15:AC15)),LEN(SUBSTITUTE($Y$14,",","|",COLUMNS($Y$15:AC15)))-FIND("|",SUBSTITUTE($Y$14,",","|",COLUMNS($Y$15:AC15)))))-IF(COLUMNS($Y$15:AC15)=1,1,FIND(":",SUBSTITUTE($Y$14,",",":",COLUMNS($Y$15:AC15)-1))+1))))),"0")</f>
        <v>0</v>
      </c>
      <c r="AF14" s="449" t="str">
        <f>IFERROR(IF($Y$14=SUBSTITUTE($Y$14,",","|",COLUMNS($Y$15:AD15)),MID(SUBSTITUTE($Y$14,",","|",COLUMNS($Y$15:AD15)),FIND("|",SUBSTITUTE($Y$14,",","|",COLUMNS($Y$15:AD15)-1))+1,244),MID($Y$14,IF(COLUMNS($Y$15:AD15)=1,1,FIND(":",SUBSTITUTE($Y$14,",",":",COLUMNS($Y$15:AD15)-1))+1),IF(COLUMNS($Y$15:AD15)=1,FIND(",",$Y$14)-1,IF(COLUMNS($Y$15:AD15)=1,1,LEN($Y$14)-LEN(RIGHT(SUBSTITUTE($Y$14,",","|",COLUMNS($Y$15:AD15)),LEN(SUBSTITUTE($Y$14,",","|",COLUMNS($Y$15:AD15)))-FIND("|",SUBSTITUTE($Y$14,",","|",COLUMNS($Y$15:AD15)))))-IF(COLUMNS($Y$15:AD15)=1,1,FIND(":",SUBSTITUTE($Y$14,",",":",COLUMNS($Y$15:AD15)-1))+1))))),"0")</f>
        <v>0</v>
      </c>
      <c r="AG14" s="449" t="str">
        <f>IFERROR(IF($Y$14=SUBSTITUTE($Y$14,",","|",COLUMNS($Y$15:AE15)),MID(SUBSTITUTE($Y$14,",","|",COLUMNS($Y$15:AE15)),FIND("|",SUBSTITUTE($Y$14,",","|",COLUMNS($Y$15:AE15)-1))+1,244),MID($Y$14,IF(COLUMNS($Y$15:AE15)=1,1,FIND(":",SUBSTITUTE($Y$14,",",":",COLUMNS($Y$15:AE15)-1))+1),IF(COLUMNS($Y$15:AE15)=1,FIND(",",$Y$14)-1,IF(COLUMNS($Y$15:AE15)=1,1,LEN($Y$14)-LEN(RIGHT(SUBSTITUTE($Y$14,",","|",COLUMNS($Y$15:AE15)),LEN(SUBSTITUTE($Y$14,",","|",COLUMNS($Y$15:AE15)))-FIND("|",SUBSTITUTE($Y$14,",","|",COLUMNS($Y$15:AE15)))))-IF(COLUMNS($Y$15:AE15)=1,1,FIND(":",SUBSTITUTE($Y$14,",",":",COLUMNS($Y$15:AE15)-1))+1))))),"0")</f>
        <v>0</v>
      </c>
      <c r="AH14" s="449" t="str">
        <f>IFERROR(IF($Y$14=SUBSTITUTE($Y$14,",","|",COLUMNS($Y$15:AF15)),MID(SUBSTITUTE($Y$14,",","|",COLUMNS($Y$15:AF15)),FIND("|",SUBSTITUTE($Y$14,",","|",COLUMNS($Y$15:AF15)-1))+1,244),MID($Y$14,IF(COLUMNS($Y$15:AF15)=1,1,FIND(":",SUBSTITUTE($Y$14,",",":",COLUMNS($Y$15:AF15)-1))+1),IF(COLUMNS($Y$15:AF15)=1,FIND(",",$Y$14)-1,IF(COLUMNS($Y$15:AF15)=1,1,LEN($Y$14)-LEN(RIGHT(SUBSTITUTE($Y$14,",","|",COLUMNS($Y$15:AF15)),LEN(SUBSTITUTE($Y$14,",","|",COLUMNS($Y$15:AF15)))-FIND("|",SUBSTITUTE($Y$14,",","|",COLUMNS($Y$15:AF15)))))-IF(COLUMNS($Y$15:AF15)=1,1,FIND(":",SUBSTITUTE($Y$14,",",":",COLUMNS($Y$15:AF15)-1))+1))))),"0")</f>
        <v>0</v>
      </c>
      <c r="AI14" s="449" t="str">
        <f>IFERROR(IF($Y$14=SUBSTITUTE($Y$14,",","|",COLUMNS($Y$15:AG15)),MID(SUBSTITUTE($Y$14,",","|",COLUMNS($Y$15:AG15)),FIND("|",SUBSTITUTE($Y$14,",","|",COLUMNS($Y$15:AG15)-1))+1,244),MID($Y$14,IF(COLUMNS($Y$15:AG15)=1,1,FIND(":",SUBSTITUTE($Y$14,",",":",COLUMNS($Y$15:AG15)-1))+1),IF(COLUMNS($Y$15:AG15)=1,FIND(",",$Y$14)-1,IF(COLUMNS($Y$15:AG15)=1,1,LEN($Y$14)-LEN(RIGHT(SUBSTITUTE($Y$14,",","|",COLUMNS($Y$15:AG15)),LEN(SUBSTITUTE($Y$14,",","|",COLUMNS($Y$15:AG15)))-FIND("|",SUBSTITUTE($Y$14,",","|",COLUMNS($Y$15:AG15)))))-IF(COLUMNS($Y$15:AG15)=1,1,FIND(":",SUBSTITUTE($Y$14,",",":",COLUMNS($Y$15:AG15)-1))+1))))),"0")</f>
        <v>0</v>
      </c>
      <c r="AJ14" s="449" t="str">
        <f>IFERROR(IF($Y$14=SUBSTITUTE($Y$14,",","|",COLUMNS($Y$15:AH15)),MID(SUBSTITUTE($Y$14,",","|",COLUMNS($Y$15:AH15)),FIND("|",SUBSTITUTE($Y$14,",","|",COLUMNS($Y$15:AH15)-1))+1,244),MID($Y$14,IF(COLUMNS($Y$15:AH15)=1,1,FIND(":",SUBSTITUTE($Y$14,",",":",COLUMNS($Y$15:AH15)-1))+1),IF(COLUMNS($Y$15:AH15)=1,FIND(",",$Y$14)-1,IF(COLUMNS($Y$15:AH15)=1,1,LEN($Y$14)-LEN(RIGHT(SUBSTITUTE($Y$14,",","|",COLUMNS($Y$15:AH15)),LEN(SUBSTITUTE($Y$14,",","|",COLUMNS($Y$15:AH15)))-FIND("|",SUBSTITUTE($Y$14,",","|",COLUMNS($Y$15:AH15)))))-IF(COLUMNS($Y$15:AH15)=1,1,FIND(":",SUBSTITUTE($Y$14,",",":",COLUMNS($Y$15:AH15)-1))+1))))),"0")</f>
        <v>0</v>
      </c>
      <c r="AK14" s="449" t="str">
        <f>IFERROR(IF($Y$14=SUBSTITUTE($Y$14,",","|",COLUMNS($Y$15:AI15)),MID(SUBSTITUTE($Y$14,",","|",COLUMNS($Y$15:AI15)),FIND("|",SUBSTITUTE($Y$14,",","|",COLUMNS($Y$15:AI15)-1))+1,244),MID($Y$14,IF(COLUMNS($Y$15:AI15)=1,1,FIND(":",SUBSTITUTE($Y$14,",",":",COLUMNS($Y$15:AI15)-1))+1),IF(COLUMNS($Y$15:AI15)=1,FIND(",",$Y$14)-1,IF(COLUMNS($Y$15:AI15)=1,1,LEN($Y$14)-LEN(RIGHT(SUBSTITUTE($Y$14,",","|",COLUMNS($Y$15:AI15)),LEN(SUBSTITUTE($Y$14,",","|",COLUMNS($Y$15:AI15)))-FIND("|",SUBSTITUTE($Y$14,",","|",COLUMNS($Y$15:AI15)))))-IF(COLUMNS($Y$15:AI15)=1,1,FIND(":",SUBSTITUTE($Y$14,",",":",COLUMNS($Y$15:AI15)-1))+1))))),"0")</f>
        <v>0</v>
      </c>
      <c r="AL14" s="449" t="str">
        <f>IFERROR(IF($Y$14=SUBSTITUTE($Y$14,",","|",COLUMNS($Y$15:AJ15)),MID(SUBSTITUTE($Y$14,",","|",COLUMNS($Y$15:AJ15)),FIND("|",SUBSTITUTE($Y$14,",","|",COLUMNS($Y$15:AJ15)-1))+1,244),MID($Y$14,IF(COLUMNS($Y$15:AJ15)=1,1,FIND(":",SUBSTITUTE($Y$14,",",":",COLUMNS($Y$15:AJ15)-1))+1),IF(COLUMNS($Y$15:AJ15)=1,FIND(",",$Y$14)-1,IF(COLUMNS($Y$15:AJ15)=1,1,LEN($Y$14)-LEN(RIGHT(SUBSTITUTE($Y$14,",","|",COLUMNS($Y$15:AJ15)),LEN(SUBSTITUTE($Y$14,",","|",COLUMNS($Y$15:AJ15)))-FIND("|",SUBSTITUTE($Y$14,",","|",COLUMNS($Y$15:AJ15)))))-IF(COLUMNS($Y$15:AJ15)=1,1,FIND(":",SUBSTITUTE($Y$14,",",":",COLUMNS($Y$15:AJ15)-1))+1))))),"0")</f>
        <v>0</v>
      </c>
      <c r="AN14" s="447">
        <v>6</v>
      </c>
      <c r="AO14" s="447" t="str">
        <f>IFERROR('Course Report'!F15,"")</f>
        <v/>
      </c>
    </row>
    <row r="15" spans="3:41" ht="15.75" thickBot="1" x14ac:dyDescent="0.3">
      <c r="C15" s="458">
        <v>4</v>
      </c>
      <c r="D15" s="459" t="str">
        <f>IFERROR(IF(OR(VALUE(AA9)=4,VALUE(AB9)=4,VALUE(AC9)=4,VALUE(AD9)=4),AO12,"NA"),"NA")</f>
        <v>NA</v>
      </c>
      <c r="E15" s="769"/>
      <c r="F15" s="770"/>
      <c r="G15" s="770"/>
      <c r="H15" s="770"/>
      <c r="I15" s="461" t="s">
        <v>448</v>
      </c>
      <c r="J15" s="470" t="str">
        <f>IF('PI Improvement Report'!E20="","NA",'PI Improvement Report'!E20)</f>
        <v>NA</v>
      </c>
      <c r="M15" s="458">
        <v>4</v>
      </c>
      <c r="N15" s="459" t="str">
        <f>IFERROR(IF(OR(VALUE(AA10)=4,VALUE(AB10)=4,VALUE(AC10)=4,VALUE(AD10)=4),AO12,"NA"),"NA")</f>
        <v>NA</v>
      </c>
      <c r="O15" s="769"/>
      <c r="P15" s="770"/>
      <c r="Q15" s="770"/>
      <c r="R15" s="771"/>
      <c r="S15" s="754"/>
      <c r="T15" s="755"/>
      <c r="AN15" s="447">
        <v>7</v>
      </c>
      <c r="AO15" s="447" t="str">
        <f>IFERROR('Course Report'!F16,"")</f>
        <v/>
      </c>
    </row>
    <row r="16" spans="3:41" x14ac:dyDescent="0.25">
      <c r="C16" s="458">
        <v>5</v>
      </c>
      <c r="D16" s="459" t="str">
        <f>IFERROR(IF(OR(VALUE(AA9)=5,VALUE(AB9)=5,VALUE(AC9)=5,VALUE(AD9)=5,VALUE(AE9)=5),AO13,"NA"),"NA")</f>
        <v>NA</v>
      </c>
      <c r="E16" s="769"/>
      <c r="F16" s="770"/>
      <c r="G16" s="770"/>
      <c r="H16" s="771"/>
      <c r="I16" s="754"/>
      <c r="J16" s="755"/>
      <c r="M16" s="458">
        <v>5</v>
      </c>
      <c r="N16" s="459" t="str">
        <f>IFERROR(IF(OR(VALUE(AA10)=5,VALUE(AB10)=5,VALUE(AC10)=5,VALUE(AD10)=5,VALUE(AE10)=5),AO13,"NA"),"NA")</f>
        <v>NA</v>
      </c>
      <c r="O16" s="769"/>
      <c r="P16" s="770"/>
      <c r="Q16" s="770"/>
      <c r="R16" s="771"/>
      <c r="S16" s="754"/>
      <c r="T16" s="755"/>
      <c r="AN16" s="447">
        <v>8</v>
      </c>
      <c r="AO16" s="447" t="str">
        <f>IFERROR('Course Report'!F17,"")</f>
        <v/>
      </c>
    </row>
    <row r="17" spans="3:41" x14ac:dyDescent="0.25">
      <c r="C17" s="458">
        <v>6</v>
      </c>
      <c r="D17" s="459" t="str">
        <f>IFERROR(IF(OR(VALUE(AA9)=6,VALUE(AB9)=6,VALUE(AC9)=6,VALUE(AD9)=6,VALUE(AE9)=6,VALUE(AF9)=6),AO14,"NA"),"NA")</f>
        <v>NA</v>
      </c>
      <c r="E17" s="769"/>
      <c r="F17" s="770"/>
      <c r="G17" s="770"/>
      <c r="H17" s="771"/>
      <c r="I17" s="754"/>
      <c r="J17" s="755"/>
      <c r="M17" s="458">
        <v>6</v>
      </c>
      <c r="N17" s="459" t="str">
        <f>IFERROR(IF(OR(VALUE(AA10)=6,VALUE(AB10)=6,VALUE(AC10)=6,VALUE(AD10)=6,VALUE(AE10)=6,VALUE(AF10)=6),AO14,"NA"),"NA")</f>
        <v>NA</v>
      </c>
      <c r="O17" s="769"/>
      <c r="P17" s="770"/>
      <c r="Q17" s="770"/>
      <c r="R17" s="771"/>
      <c r="S17" s="754"/>
      <c r="T17" s="755"/>
      <c r="AN17" s="447">
        <v>9</v>
      </c>
      <c r="AO17" s="447" t="str">
        <f>IFERROR('Course Report'!F18,"")</f>
        <v/>
      </c>
    </row>
    <row r="18" spans="3:41" x14ac:dyDescent="0.25">
      <c r="C18" s="458">
        <v>7</v>
      </c>
      <c r="D18" s="459" t="str">
        <f>IFERROR(IF(OR(VALUE(AA9)=7,VALUE(AB9)=7,VALUE(AC9)=7,VALUE(AD9)=7,VALUE(AE9)=7,VALUE(AF9)=7,VALUE(AG9)=7),AO15,"NA"),"NA")</f>
        <v>NA</v>
      </c>
      <c r="E18" s="769"/>
      <c r="F18" s="770"/>
      <c r="G18" s="770"/>
      <c r="H18" s="771"/>
      <c r="I18" s="754"/>
      <c r="J18" s="755"/>
      <c r="M18" s="458">
        <v>7</v>
      </c>
      <c r="N18" s="459" t="str">
        <f>IFERROR(IF(OR(VALUE(AA10)=7,VALUE(AB10)=7,VALUE(AC10)=7,VALUE(AD10)=7,VALUE(AE10)=7,VALUE(AF10)=7,VALUE(AG10)=7),AO15,"NA"),"NA")</f>
        <v>NA</v>
      </c>
      <c r="O18" s="769"/>
      <c r="P18" s="770"/>
      <c r="Q18" s="770"/>
      <c r="R18" s="771"/>
      <c r="S18" s="754"/>
      <c r="T18" s="755"/>
      <c r="AN18" s="447">
        <v>10</v>
      </c>
      <c r="AO18" s="447" t="str">
        <f>IFERROR('Course Report'!F19,"")</f>
        <v/>
      </c>
    </row>
    <row r="19" spans="3:41" x14ac:dyDescent="0.25">
      <c r="C19" s="458">
        <v>8</v>
      </c>
      <c r="D19" s="459" t="str">
        <f>IFERROR(IF(OR(VALUE(AA9)=8,VALUE(AB9)=8,VALUE(AC9)=8,VALUE(AD9)=8,VALUE(AE9)=8,VALUE(AF9)=8,VALUE(AG9)=8,VALUE(AH9)=8),AO16,"NA"),"NA")</f>
        <v>NA</v>
      </c>
      <c r="E19" s="769"/>
      <c r="F19" s="770"/>
      <c r="G19" s="770"/>
      <c r="H19" s="771"/>
      <c r="I19" s="754"/>
      <c r="J19" s="755"/>
      <c r="M19" s="458">
        <v>8</v>
      </c>
      <c r="N19" s="459" t="str">
        <f>IFERROR(IF(OR(VALUE(AA10)=8,VALUE(AB10)=8,VALUE(AC10)=8,VALUE(AD10)=8,VALUE(AE10)=8,VALUE(AF10)=8,VALUE(AG10)=8,VALUE(AH10)=8),AO16,"NA"),"NA")</f>
        <v>NA</v>
      </c>
      <c r="O19" s="769"/>
      <c r="P19" s="770"/>
      <c r="Q19" s="770"/>
      <c r="R19" s="771"/>
      <c r="S19" s="754"/>
      <c r="T19" s="755"/>
      <c r="AN19" s="447">
        <v>11</v>
      </c>
      <c r="AO19" s="447" t="str">
        <f>IFERROR('Course Report'!F20,"")</f>
        <v/>
      </c>
    </row>
    <row r="20" spans="3:41" x14ac:dyDescent="0.25">
      <c r="C20" s="458">
        <v>9</v>
      </c>
      <c r="D20" s="459" t="str">
        <f>IFERROR(IF(OR(VALUE(AA9)=9,VALUE(AB9)=9,VALUE(AC9)=9,VALUE(AD9)=9,VALUE(AE9)=9,VALUE(AF9)=9,VALUE(AG9)=9,VALUE(AH9)=9,VALUE(AI9)=9),AO17,"NA"),"NA")</f>
        <v>NA</v>
      </c>
      <c r="E20" s="769"/>
      <c r="F20" s="770"/>
      <c r="G20" s="770"/>
      <c r="H20" s="771"/>
      <c r="I20" s="754"/>
      <c r="J20" s="755"/>
      <c r="M20" s="458">
        <v>9</v>
      </c>
      <c r="N20" s="459" t="str">
        <f>IFERROR(IF(OR(VALUE(AA10)=9,VALUE(AB10)=9,VALUE(AC10)=9,VALUE(AD10)=9,VALUE(AE10)=9,VALUE(AF10)=9,VALUE(AG10)=9,VALUE(AH10)=9,VALUE(AI10)=9),AO17,"NA"),"NA")</f>
        <v>NA</v>
      </c>
      <c r="O20" s="769"/>
      <c r="P20" s="770"/>
      <c r="Q20" s="770"/>
      <c r="R20" s="771"/>
      <c r="S20" s="754"/>
      <c r="T20" s="755"/>
      <c r="AN20" s="447">
        <v>12</v>
      </c>
      <c r="AO20" s="447" t="str">
        <f>IFERROR('Course Report'!F21,"")</f>
        <v/>
      </c>
    </row>
    <row r="21" spans="3:41" x14ac:dyDescent="0.25">
      <c r="C21" s="458">
        <v>10</v>
      </c>
      <c r="D21" s="459" t="str">
        <f>IFERROR(IF(OR(VALUE(AA9)=10,VALUE(AB9)=10,VALUE(AC9)=10,VALUE(AD9)=10,VALUE(AE9)=10,VALUE(AF9)=10,VALUE(AG9)=10,VALUE(AH9)=10,VALUE(AI9)=10,VALUE(AJ9)=10),AO18,"NA"),"NA")</f>
        <v>NA</v>
      </c>
      <c r="E21" s="769"/>
      <c r="F21" s="770"/>
      <c r="G21" s="770"/>
      <c r="H21" s="771"/>
      <c r="I21" s="754"/>
      <c r="J21" s="755"/>
      <c r="M21" s="458">
        <v>10</v>
      </c>
      <c r="N21" s="459" t="str">
        <f>IFERROR(IF(OR(VALUE(AA10)=10,VALUE(AB10)=10,VALUE(AC10)=10,VALUE(AD10)=10,VALUE(AE10)=10,VALUE(AF10)=10,VALUE(AG10)=10,VALUE(AH10)=10,VALUE(AI10)=10,VALUE(AJ10)=10),AO18,"NA"),"NA")</f>
        <v>NA</v>
      </c>
      <c r="O21" s="769"/>
      <c r="P21" s="770"/>
      <c r="Q21" s="770"/>
      <c r="R21" s="771"/>
      <c r="S21" s="754"/>
      <c r="T21" s="755"/>
    </row>
    <row r="22" spans="3:41" ht="15.75" thickBot="1" x14ac:dyDescent="0.3">
      <c r="C22" s="458">
        <v>11</v>
      </c>
      <c r="D22" s="459" t="str">
        <f>IFERROR(IF(OR(VALUE(AA9)=11,VALUE(AB9)=11,VALUE(AC9)=11,VALUE(AD9)=11,VALUE(AE9)=11,VALUE(AF9)=11,VALUE(AG9)=11,VALUE(AH9)=11,VALUE(AI9)=11,VALUE(AJ9)=11,VALUE(AK9)=11),AO19,"NA"),"NA")</f>
        <v>NA</v>
      </c>
      <c r="E22" s="769"/>
      <c r="F22" s="770"/>
      <c r="G22" s="770"/>
      <c r="H22" s="771"/>
      <c r="I22" s="754"/>
      <c r="J22" s="755"/>
      <c r="M22" s="458">
        <v>11</v>
      </c>
      <c r="N22" s="459" t="str">
        <f>IFERROR(IF(OR(VALUE(AA10)=11,VALUE(AB10)=11,VALUE(AC10)=11,VALUE(AD10)=11,VALUE(AE10)=11,VALUE(AF10)=11,VALUE(AG10)=11,VALUE(AH10)=11,VALUE(AI10)=11,VALUE(AJ10)=11,VALUE(AK10)=11),AO19,"NA"),"NA")</f>
        <v>NA</v>
      </c>
      <c r="O22" s="769"/>
      <c r="P22" s="770"/>
      <c r="Q22" s="770"/>
      <c r="R22" s="771"/>
      <c r="S22" s="754"/>
      <c r="T22" s="755"/>
    </row>
    <row r="23" spans="3:41" ht="15.75" thickBot="1" x14ac:dyDescent="0.3">
      <c r="C23" s="463">
        <v>12</v>
      </c>
      <c r="D23" s="464" t="str">
        <f>IFERROR(IF(OR(VALUE(AA9)=12,VALUE(AB9)=12,VALUE(AC9)=12,VALUE(AD9)=12,VALUE(AE9)=12,VALUE(AF9)=12,VALUE(AG9)=12,VALUE(AH9)=12,VALUE(AI9)=12,VALUE(AJ9)=12,VALUE(AK9)=12,VALUE(AL9)=12),AO20,"NA"),"NA")</f>
        <v>NA</v>
      </c>
      <c r="E23" s="772" t="s">
        <v>450</v>
      </c>
      <c r="F23" s="773"/>
      <c r="G23" s="773"/>
      <c r="H23" s="465" t="str">
        <f>IF(('ABET SO Analysis'!I65)="","NA",('ABET SO Analysis'!I65))</f>
        <v>NA</v>
      </c>
      <c r="I23" s="754"/>
      <c r="J23" s="755"/>
      <c r="M23" s="463">
        <v>12</v>
      </c>
      <c r="N23" s="464" t="str">
        <f>IFERROR(IF(OR(VALUE(AA10)=12,VALUE(AB10)=12,VALUE(AC10)=12,VALUE(AD10)=12,VALUE(AE10)=12,VALUE(AF10)=12,VALUE(AG10)=12,VALUE(AH10)=12,VALUE(AI10)=12,VALUE(AJ10)=12,VALUE(AK10)=12,VALUE(AL10)=12),AO20,"NA"),"NA")</f>
        <v>NA</v>
      </c>
      <c r="O23" s="772" t="s">
        <v>451</v>
      </c>
      <c r="P23" s="773"/>
      <c r="Q23" s="773"/>
      <c r="R23" s="465" t="str">
        <f>IF(('ABET SO Analysis'!I66)="","NA",('ABET SO Analysis'!I66))</f>
        <v>NA</v>
      </c>
      <c r="S23" s="754"/>
      <c r="T23" s="755"/>
    </row>
    <row r="25" spans="3:41" ht="15.75" thickBot="1" x14ac:dyDescent="0.3"/>
    <row r="26" spans="3:41" ht="15.75" thickBot="1" x14ac:dyDescent="0.3">
      <c r="C26" s="450" t="s">
        <v>403</v>
      </c>
      <c r="D26" s="451" t="s">
        <v>440</v>
      </c>
      <c r="E26" s="764" t="s">
        <v>313</v>
      </c>
      <c r="F26" s="765"/>
      <c r="G26" s="765"/>
      <c r="H26" s="766"/>
      <c r="I26" s="452" t="s">
        <v>444</v>
      </c>
      <c r="J26" s="466" t="s">
        <v>449</v>
      </c>
      <c r="M26" s="450" t="s">
        <v>403</v>
      </c>
      <c r="N26" s="451" t="s">
        <v>440</v>
      </c>
      <c r="O26" s="764" t="s">
        <v>314</v>
      </c>
      <c r="P26" s="765"/>
      <c r="Q26" s="765"/>
      <c r="R26" s="766"/>
      <c r="S26" s="452" t="s">
        <v>444</v>
      </c>
      <c r="T26" s="466" t="s">
        <v>449</v>
      </c>
    </row>
    <row r="27" spans="3:41" ht="15.75" thickBot="1" x14ac:dyDescent="0.3">
      <c r="C27" s="454">
        <v>1</v>
      </c>
      <c r="D27" s="455" t="str">
        <f>IFERROR(IF(VALUE(AA11)=1,AO9,"NA"),"NA")</f>
        <v>NA</v>
      </c>
      <c r="E27" s="767" t="str">
        <f>'Course Information'!B26</f>
        <v xml:space="preserve">An ability to apply written, oral, and graphical communication in broadly-defined technical and non-technical environments; and an ability to identify and use appropriate technical literature; </v>
      </c>
      <c r="F27" s="768"/>
      <c r="G27" s="768"/>
      <c r="H27" s="768"/>
      <c r="I27" s="456" t="s">
        <v>455</v>
      </c>
      <c r="J27" s="457" t="str">
        <f>IF('PI Improvement Report'!E25="","NA",'PI Improvement Report'!E25)</f>
        <v>NA</v>
      </c>
      <c r="M27" s="454">
        <v>1</v>
      </c>
      <c r="N27" s="455" t="str">
        <f>IFERROR(IF(VALUE(AA12)=1,AO9,"NA"),"NA")</f>
        <v>NA</v>
      </c>
      <c r="O27" s="767" t="str">
        <f>'Course Information'!B27</f>
        <v>An ability to conduct standard tests, measurements, and experiments and to analyze and interpret the results to improve processes.</v>
      </c>
      <c r="P27" s="768"/>
      <c r="Q27" s="768"/>
      <c r="R27" s="768"/>
      <c r="S27" s="456" t="s">
        <v>458</v>
      </c>
      <c r="T27" s="468" t="str">
        <f>IF('PI Improvement Report'!E29="","NA",'PI Improvement Report'!E29)</f>
        <v>NA</v>
      </c>
    </row>
    <row r="28" spans="3:41" ht="15.75" thickBot="1" x14ac:dyDescent="0.3">
      <c r="C28" s="458">
        <v>2</v>
      </c>
      <c r="D28" s="459" t="str">
        <f>IFERROR(IF(OR(VALUE(AA11)=2,VALUE(AB11)=2),AO10,"NA"),"NA")</f>
        <v>NA</v>
      </c>
      <c r="E28" s="769"/>
      <c r="F28" s="770"/>
      <c r="G28" s="770"/>
      <c r="H28" s="770"/>
      <c r="I28" s="460" t="s">
        <v>456</v>
      </c>
      <c r="J28" s="467" t="str">
        <f>IF('PI Improvement Report'!E26="","NA",'PI Improvement Report'!E26)</f>
        <v>NA</v>
      </c>
      <c r="M28" s="458">
        <v>2</v>
      </c>
      <c r="N28" s="455" t="str">
        <f>IFERROR(IF(OR(VALUE(AA12)=2,VALUE(AB12)=2),AO10,"NA"),"NA")</f>
        <v>NA</v>
      </c>
      <c r="O28" s="769"/>
      <c r="P28" s="770"/>
      <c r="Q28" s="770"/>
      <c r="R28" s="770"/>
      <c r="S28" s="461" t="s">
        <v>459</v>
      </c>
      <c r="T28" s="470" t="str">
        <f>IF('PI Improvement Report'!E30="","NA",'PI Improvement Report'!E30)</f>
        <v>NA</v>
      </c>
    </row>
    <row r="29" spans="3:41" ht="15.75" thickBot="1" x14ac:dyDescent="0.3">
      <c r="C29" s="458">
        <v>3</v>
      </c>
      <c r="D29" s="459" t="str">
        <f>IFERROR(IF(OR(VALUE(AA11)=3,VALUE(AB11)=3,VALUE(AC11)=3),AO11,"NA"),"NA")</f>
        <v>NA</v>
      </c>
      <c r="E29" s="769"/>
      <c r="F29" s="770"/>
      <c r="G29" s="770"/>
      <c r="H29" s="770"/>
      <c r="I29" s="461" t="s">
        <v>457</v>
      </c>
      <c r="J29" s="462" t="str">
        <f>IF('PI Improvement Report'!E27="","NA",'PI Improvement Report'!E27)</f>
        <v>NA</v>
      </c>
      <c r="M29" s="458">
        <v>3</v>
      </c>
      <c r="N29" s="455" t="str">
        <f>IFERROR(IF(OR(VALUE(AA12)=3,VALUE(AB12)=3,VALUE(AC12)=3),AO11,"NA"),"NA")</f>
        <v>NA</v>
      </c>
      <c r="O29" s="769"/>
      <c r="P29" s="770"/>
      <c r="Q29" s="770"/>
      <c r="R29" s="771"/>
      <c r="S29" s="754"/>
      <c r="T29" s="755"/>
    </row>
    <row r="30" spans="3:41" ht="15.75" thickBot="1" x14ac:dyDescent="0.3">
      <c r="C30" s="458">
        <v>4</v>
      </c>
      <c r="D30" s="459" t="str">
        <f>IFERROR(IF(OR(VALUE(AA11)=4,VALUE(AB11)=4,VALUE(AC11)=4,VALUE(AD11)=4),AO12,"NA"),"NA")</f>
        <v>NA</v>
      </c>
      <c r="E30" s="769"/>
      <c r="F30" s="770"/>
      <c r="G30" s="770"/>
      <c r="H30" s="771"/>
      <c r="I30" s="754" t="str">
        <f>'PI Improvement Report'!E35</f>
        <v/>
      </c>
      <c r="J30" s="755"/>
      <c r="M30" s="458">
        <v>4</v>
      </c>
      <c r="N30" s="455" t="str">
        <f>IFERROR(IF(OR(VALUE(AA12)=4,VALUE(AB12)=4,VALUE(AC12)=4,VALUE(AD12)=4),AO12,"NA"),"NA")</f>
        <v>NA</v>
      </c>
      <c r="O30" s="769"/>
      <c r="P30" s="770"/>
      <c r="Q30" s="770"/>
      <c r="R30" s="771"/>
      <c r="S30" s="754"/>
      <c r="T30" s="755"/>
    </row>
    <row r="31" spans="3:41" ht="15.75" thickBot="1" x14ac:dyDescent="0.3">
      <c r="C31" s="458">
        <v>5</v>
      </c>
      <c r="D31" s="459" t="str">
        <f>IFERROR(IF(OR(VALUE(AA11)=5,VALUE(AB11)=5,VALUE(AC11)=5,VALUE(AD11)=5,VALUE(AE11)=5),AO13,"NA"),"NA")</f>
        <v>NA</v>
      </c>
      <c r="E31" s="769"/>
      <c r="F31" s="770"/>
      <c r="G31" s="770"/>
      <c r="H31" s="771"/>
      <c r="I31" s="754"/>
      <c r="J31" s="755"/>
      <c r="M31" s="458">
        <v>5</v>
      </c>
      <c r="N31" s="455" t="str">
        <f>IFERROR(IF(OR(VALUE(AA12)=5,VALUE(AB12)=5,VALUE(AC12)=5,VALUE(AD12)=5,VALUE(AE12)=5),AO13,"NA"),"NA")</f>
        <v>NA</v>
      </c>
      <c r="O31" s="769"/>
      <c r="P31" s="770"/>
      <c r="Q31" s="770"/>
      <c r="R31" s="771"/>
      <c r="S31" s="754"/>
      <c r="T31" s="755"/>
    </row>
    <row r="32" spans="3:41" ht="15.75" thickBot="1" x14ac:dyDescent="0.3">
      <c r="C32" s="458">
        <v>6</v>
      </c>
      <c r="D32" s="459" t="str">
        <f>IFERROR(IF(OR(VALUE(AA11)=6,VALUE(AB11)=6,VALUE(AC11)=6,VALUE(AD11)=6,VALUE(AE11)=6,VALUE(AF11)=6),AO14,"NA"),"NA")</f>
        <v>NA</v>
      </c>
      <c r="E32" s="769"/>
      <c r="F32" s="770"/>
      <c r="G32" s="770"/>
      <c r="H32" s="771"/>
      <c r="I32" s="754"/>
      <c r="J32" s="755"/>
      <c r="M32" s="458">
        <v>6</v>
      </c>
      <c r="N32" s="455" t="str">
        <f>IFERROR(IF(OR(VALUE(AA12)=6,VALUE(AB12)=6,VALUE(AC12)=6,VALUE(AD12)=6,VALUE(AE12)=6,VALUE(AF12)=6),AO14,"NA"),"NA")</f>
        <v>NA</v>
      </c>
      <c r="O32" s="769"/>
      <c r="P32" s="770"/>
      <c r="Q32" s="770"/>
      <c r="R32" s="771"/>
      <c r="S32" s="754"/>
      <c r="T32" s="755"/>
    </row>
    <row r="33" spans="3:20" ht="15.75" thickBot="1" x14ac:dyDescent="0.3">
      <c r="C33" s="458">
        <v>7</v>
      </c>
      <c r="D33" s="459" t="str">
        <f>IFERROR(IF(OR(VALUE(AA11)=7,VALUE(AB11)=7,VALUE(AC11)=7,VALUE(AD11)=7,VALUE(AE11)=7,VALUE(AF11)=7,VALUE(AG11)=7),AO15,"NA"),"NA")</f>
        <v>NA</v>
      </c>
      <c r="E33" s="769"/>
      <c r="F33" s="770"/>
      <c r="G33" s="770"/>
      <c r="H33" s="771"/>
      <c r="I33" s="754"/>
      <c r="J33" s="755"/>
      <c r="M33" s="458">
        <v>7</v>
      </c>
      <c r="N33" s="455" t="str">
        <f>IFERROR(IF(OR(VALUE(AA12)=7,VALUE(AB12)=7,VALUE(AC12)=7,VALUE(AD12)=7,VALUE(AE12)=7,VALUE(AF12)=7,VALUE(AG12)=7),AO15,"NA"),"NA")</f>
        <v>NA</v>
      </c>
      <c r="O33" s="769"/>
      <c r="P33" s="770"/>
      <c r="Q33" s="770"/>
      <c r="R33" s="771"/>
      <c r="S33" s="754"/>
      <c r="T33" s="755"/>
    </row>
    <row r="34" spans="3:20" ht="15.75" thickBot="1" x14ac:dyDescent="0.3">
      <c r="C34" s="458">
        <v>8</v>
      </c>
      <c r="D34" s="459" t="str">
        <f>IFERROR(IF(OR(VALUE(AA11)=8,VALUE(AB11)=8,VALUE(AC11)=8,VALUE(AD11)=8,VALUE(AE11)=8,VALUE(AF11)=8,VALUE(AG11)=8,VALUE(AH11)=8),AO16,"NA"),"NA")</f>
        <v>NA</v>
      </c>
      <c r="E34" s="769"/>
      <c r="F34" s="770"/>
      <c r="G34" s="770"/>
      <c r="H34" s="771"/>
      <c r="I34" s="754"/>
      <c r="J34" s="755"/>
      <c r="M34" s="458">
        <v>8</v>
      </c>
      <c r="N34" s="455" t="str">
        <f>IFERROR(IF(OR(VALUE(AA12)=8,VALUE(AB12)=8,VALUE(AC12)=8,VALUE(AD12)=8,VALUE(AE12)=8,VALUE(AF12)=8,VALUE(AG12)=8,VALUE(AH12)=8),AO16,"NA"),"NA")</f>
        <v>NA</v>
      </c>
      <c r="O34" s="769"/>
      <c r="P34" s="770"/>
      <c r="Q34" s="770"/>
      <c r="R34" s="771"/>
      <c r="S34" s="754"/>
      <c r="T34" s="755"/>
    </row>
    <row r="35" spans="3:20" ht="15.75" thickBot="1" x14ac:dyDescent="0.3">
      <c r="C35" s="458">
        <v>9</v>
      </c>
      <c r="D35" s="459" t="str">
        <f>IFERROR(IF(OR(VALUE(AA11)=9,VALUE(AB11)=9,VALUE(AC11)=9,VALUE(AD11)=9,VALUE(AE11)=9,VALUE(AF11)=9,VALUE(AG11)=9,VALUE(AH11)=9,VALUE(AI11)=9),AO17,"NA"),"NA")</f>
        <v>NA</v>
      </c>
      <c r="E35" s="769"/>
      <c r="F35" s="770"/>
      <c r="G35" s="770"/>
      <c r="H35" s="771"/>
      <c r="I35" s="754"/>
      <c r="J35" s="755"/>
      <c r="M35" s="458">
        <v>9</v>
      </c>
      <c r="N35" s="455" t="str">
        <f>IFERROR(IF(OR(VALUE(AA12)=9,VALUE(AB12)=9,VALUE(AC12)=9,VALUE(AD12)=9,VALUE(AE12)=9,VALUE(AF12)=9,VALUE(AG12)=9,VALUE(AH12)=9,VALUE(AI12)=9),AO17,"NA"),"NA")</f>
        <v>NA</v>
      </c>
      <c r="O35" s="769"/>
      <c r="P35" s="770"/>
      <c r="Q35" s="770"/>
      <c r="R35" s="771"/>
      <c r="S35" s="754"/>
      <c r="T35" s="755"/>
    </row>
    <row r="36" spans="3:20" ht="15.75" thickBot="1" x14ac:dyDescent="0.3">
      <c r="C36" s="458">
        <v>10</v>
      </c>
      <c r="D36" s="459" t="str">
        <f>IFERROR(IF(OR(VALUE(AA11)=10,VALUE(AB11)=10,VALUE(AC11)=10,VALUE(AD11)=10,VALUE(AE11)=10,VALUE(AF11)=10,VALUE(AG11)=10,VALUE(AH11)=10,VALUE(AI11)=10,VALUE(AJ11)=10),AO18,"NA"),"NA")</f>
        <v>NA</v>
      </c>
      <c r="E36" s="769"/>
      <c r="F36" s="770"/>
      <c r="G36" s="770"/>
      <c r="H36" s="771"/>
      <c r="I36" s="754"/>
      <c r="J36" s="755"/>
      <c r="M36" s="458">
        <v>10</v>
      </c>
      <c r="N36" s="455" t="str">
        <f>IFERROR(IF(OR(VALUE(AA12)=10,VALUE(AB12)=10,VALUE(AC12)=10,VALUE(AD12)=10,VALUE(AE12)=10,VALUE(AF12)=10,VALUE(AG12)=10,VALUE(AH12)=10,VALUE(AI12)=10,VALUE(AJ12)=10),AO18,"NA"),"NA")</f>
        <v>NA</v>
      </c>
      <c r="O36" s="769"/>
      <c r="P36" s="770"/>
      <c r="Q36" s="770"/>
      <c r="R36" s="771"/>
      <c r="S36" s="754"/>
      <c r="T36" s="755"/>
    </row>
    <row r="37" spans="3:20" ht="15.75" thickBot="1" x14ac:dyDescent="0.3">
      <c r="C37" s="458">
        <v>11</v>
      </c>
      <c r="D37" s="459" t="str">
        <f>IFERROR(IF(OR(VALUE(AA11)=11,VALUE(AB11)=11,VALUE(AC11)=11,VALUE(AD11)=11,VALUE(AE11)=11,VALUE(AF11)=11,VALUE(AG11)=11,VALUE(AH11)=11,VALUE(AI11)=11,VALUE(AJ11)=11,VALUE(AK11)=11),AO19,"NA"),"NA")</f>
        <v>NA</v>
      </c>
      <c r="E37" s="769"/>
      <c r="F37" s="770"/>
      <c r="G37" s="770"/>
      <c r="H37" s="771"/>
      <c r="I37" s="754"/>
      <c r="J37" s="755"/>
      <c r="M37" s="458">
        <v>11</v>
      </c>
      <c r="N37" s="455" t="str">
        <f>IFERROR(IF(OR(VALUE(AA12)=11,VALUE(AB12)=11,VALUE(AC12)=11,VALUE(AD12)=11,VALUE(AE12)=11,VALUE(AF12)=11,VALUE(AG12)=11,VALUE(AH12)=11,VALUE(AI12)=11,VALUE(AJ12)=11,VALUE(AK12)=11),AO19,"NA"),"NA")</f>
        <v>NA</v>
      </c>
      <c r="O37" s="769"/>
      <c r="P37" s="770"/>
      <c r="Q37" s="770"/>
      <c r="R37" s="771"/>
      <c r="S37" s="754"/>
      <c r="T37" s="755"/>
    </row>
    <row r="38" spans="3:20" ht="15.75" thickBot="1" x14ac:dyDescent="0.3">
      <c r="C38" s="463">
        <v>12</v>
      </c>
      <c r="D38" s="464" t="str">
        <f>IFERROR(IF(OR(VALUE(AA11)=12,VALUE(AB11)=12,VALUE(AC11)=12,VALUE(AD11)=12,VALUE(AE11)=12,VALUE(AF11)=12,VALUE(AG11)=12,VALUE(AH11)=12,VALUE(AI11)=12,VALUE(AJ11)=12,VALUE(AK11)=12,VALUE(AL11)=12),AO20,"NA"),"NA")</f>
        <v>NA</v>
      </c>
      <c r="E38" s="772" t="s">
        <v>454</v>
      </c>
      <c r="F38" s="773"/>
      <c r="G38" s="773"/>
      <c r="H38" s="465" t="str">
        <f>IF(('ABET SO Analysis'!I67)="","NA",('ABET SO Analysis'!I67))</f>
        <v>NA</v>
      </c>
      <c r="I38" s="754"/>
      <c r="J38" s="755"/>
      <c r="M38" s="463">
        <v>12</v>
      </c>
      <c r="N38" s="455" t="str">
        <f>IFERROR(IF(OR(VALUE(AA12)=12,VALUE(AB12)=12,VALUE(AC12)=12,VALUE(AD12)=12,VALUE(AE12)=12,VALUE(AF12)=12,VALUE(AG12)=12,VALUE(AH12)=12,VALUE(AI12)=12,VALUE(AJ12)=12,VALUE(AK12)=12,VALUE(AL12)=12),AO20,"NA"),"NA")</f>
        <v>NA</v>
      </c>
      <c r="O38" s="772" t="s">
        <v>466</v>
      </c>
      <c r="P38" s="773"/>
      <c r="Q38" s="773"/>
      <c r="R38" s="465" t="str">
        <f>IF(('ABET SO Analysis'!I68)="","NA",('ABET SO Analysis'!I68))</f>
        <v>NA</v>
      </c>
      <c r="S38" s="754"/>
      <c r="T38" s="755"/>
    </row>
    <row r="40" spans="3:20" ht="15.75" thickBot="1" x14ac:dyDescent="0.3"/>
    <row r="41" spans="3:20" ht="15.75" thickBot="1" x14ac:dyDescent="0.3">
      <c r="C41" s="450" t="s">
        <v>403</v>
      </c>
      <c r="D41" s="451" t="s">
        <v>440</v>
      </c>
      <c r="E41" s="764" t="s">
        <v>315</v>
      </c>
      <c r="F41" s="765"/>
      <c r="G41" s="765"/>
      <c r="H41" s="766"/>
      <c r="I41" s="452" t="s">
        <v>444</v>
      </c>
      <c r="J41" s="466" t="s">
        <v>449</v>
      </c>
      <c r="M41" s="450" t="s">
        <v>403</v>
      </c>
      <c r="N41" s="451" t="s">
        <v>440</v>
      </c>
      <c r="O41" s="764" t="s">
        <v>316</v>
      </c>
      <c r="P41" s="765"/>
      <c r="Q41" s="765"/>
      <c r="R41" s="766"/>
      <c r="S41" s="452" t="s">
        <v>444</v>
      </c>
      <c r="T41" s="466" t="s">
        <v>449</v>
      </c>
    </row>
    <row r="42" spans="3:20" x14ac:dyDescent="0.25">
      <c r="C42" s="454">
        <v>1</v>
      </c>
      <c r="D42" s="455" t="str">
        <f>IFERROR(IF(VALUE(AA13)=1,AO9,"NA"),"NA")</f>
        <v>NA</v>
      </c>
      <c r="E42" s="767" t="str">
        <f>'Course Information'!B54</f>
        <v>An ability to function effectively as a member as well as a leader on technical teams.</v>
      </c>
      <c r="F42" s="768"/>
      <c r="G42" s="768"/>
      <c r="H42" s="768"/>
      <c r="I42" s="456" t="s">
        <v>460</v>
      </c>
      <c r="J42" s="468" t="str">
        <f>IF('PI Improvement Report'!E32="","NA",'PI Improvement Report'!E32)</f>
        <v>NA</v>
      </c>
      <c r="M42" s="454">
        <v>1</v>
      </c>
      <c r="N42" s="455" t="str">
        <f>IFERROR(IF(VALUE(AA14)=1,AO9,"NA"),"NA")</f>
        <v>NA</v>
      </c>
      <c r="O42" s="767" t="str">
        <f>'Course Information'!B29</f>
        <v>An ability to apply innovation and entrepreneurship skills to broadly defined engineering applications.</v>
      </c>
      <c r="P42" s="768"/>
      <c r="Q42" s="768"/>
      <c r="R42" s="768"/>
      <c r="S42" s="472" t="s">
        <v>462</v>
      </c>
      <c r="T42" s="468" t="str">
        <f>IF('PI Improvement Report'!E35="","NA",'PI Improvement Report'!E35)</f>
        <v>NA</v>
      </c>
    </row>
    <row r="43" spans="3:20" ht="15.75" thickBot="1" x14ac:dyDescent="0.3">
      <c r="C43" s="458">
        <v>2</v>
      </c>
      <c r="D43" s="459" t="str">
        <f>IFERROR(IF(OR(VALUE(AA13)=2,VALUE(AB13)=2),AO10,"NA"),"NA")</f>
        <v>NA</v>
      </c>
      <c r="E43" s="769"/>
      <c r="F43" s="770"/>
      <c r="G43" s="770"/>
      <c r="H43" s="770"/>
      <c r="I43" s="461" t="s">
        <v>461</v>
      </c>
      <c r="J43" s="470" t="str">
        <f>IF('PI Improvement Report'!E33="","NA",'PI Improvement Report'!E33)</f>
        <v>NA</v>
      </c>
      <c r="M43" s="458">
        <v>2</v>
      </c>
      <c r="N43" s="459" t="str">
        <f>IFERROR(IF(OR(VALUE(AA14)=2,VALUE(AB14)=2),AO10,"NA"),"NA")</f>
        <v>NA</v>
      </c>
      <c r="O43" s="769"/>
      <c r="P43" s="770"/>
      <c r="Q43" s="770"/>
      <c r="R43" s="770"/>
      <c r="S43" s="471" t="s">
        <v>463</v>
      </c>
      <c r="T43" s="470" t="str">
        <f>IF('PI Improvement Report'!E36="","NA",'PI Improvement Report'!E36)</f>
        <v>NA</v>
      </c>
    </row>
    <row r="44" spans="3:20" x14ac:dyDescent="0.25">
      <c r="C44" s="458">
        <v>3</v>
      </c>
      <c r="D44" s="459" t="str">
        <f>IFERROR(IF(OR(VALUE(AA13)=3,VALUE(AB13)=3,VALUE(AC13)=3),AO11,"NA"),"NA")</f>
        <v>NA</v>
      </c>
      <c r="E44" s="769"/>
      <c r="F44" s="770"/>
      <c r="G44" s="770"/>
      <c r="H44" s="771"/>
      <c r="I44" s="754"/>
      <c r="J44" s="755"/>
      <c r="M44" s="458">
        <v>3</v>
      </c>
      <c r="N44" s="459" t="str">
        <f>IFERROR(IF(OR(VALUE(AA14)=3,VALUE(AB14)=3,VALUE(AC14)=3),AO11,"NA"),"NA")</f>
        <v>NA</v>
      </c>
      <c r="O44" s="769"/>
      <c r="P44" s="770"/>
      <c r="Q44" s="770"/>
      <c r="R44" s="771"/>
      <c r="S44" s="754"/>
      <c r="T44" s="755"/>
    </row>
    <row r="45" spans="3:20" x14ac:dyDescent="0.25">
      <c r="C45" s="458">
        <v>4</v>
      </c>
      <c r="D45" s="459" t="str">
        <f>IFERROR(IF(OR(VALUE(AA13)=4,VALUE(AB13)=4,VALUE(AC13)=4,VALUE(AD13)=4),AO12,"NA"),"NA")</f>
        <v>NA</v>
      </c>
      <c r="E45" s="769"/>
      <c r="F45" s="770"/>
      <c r="G45" s="770"/>
      <c r="H45" s="771"/>
      <c r="I45" s="754"/>
      <c r="J45" s="755"/>
      <c r="M45" s="458">
        <v>4</v>
      </c>
      <c r="N45" s="459" t="str">
        <f>IFERROR(IF(OR(VALUE(AA14)=4,VALUE(AB14)=4,VALUE(AC14)=4,VALUE(AD14)=4),AO12,"NA"),"NA")</f>
        <v>NA</v>
      </c>
      <c r="O45" s="769"/>
      <c r="P45" s="770"/>
      <c r="Q45" s="770"/>
      <c r="R45" s="771"/>
      <c r="S45" s="754"/>
      <c r="T45" s="755"/>
    </row>
    <row r="46" spans="3:20" x14ac:dyDescent="0.25">
      <c r="C46" s="458">
        <v>5</v>
      </c>
      <c r="D46" s="459" t="str">
        <f>IFERROR(IF(OR(VALUE(AA13)=5,VALUE(AB13)=5,VALUE(AC13)=5,VALUE(AD13)=5,VALUE(AE13)=5),AO13,"NA"),"NA")</f>
        <v>NA</v>
      </c>
      <c r="E46" s="769"/>
      <c r="F46" s="770"/>
      <c r="G46" s="770"/>
      <c r="H46" s="771"/>
      <c r="I46" s="754"/>
      <c r="J46" s="755"/>
      <c r="M46" s="458">
        <v>5</v>
      </c>
      <c r="N46" s="459" t="str">
        <f>IFERROR(IF(OR(VALUE(AA14)=5,VALUE(AB14)=5,VALUE(AC14)=5,VALUE(AD14)=5,VALUE(AE14)=5),AO13,"NA"),"NA")</f>
        <v>NA</v>
      </c>
      <c r="O46" s="769"/>
      <c r="P46" s="770"/>
      <c r="Q46" s="770"/>
      <c r="R46" s="771"/>
      <c r="S46" s="754"/>
      <c r="T46" s="755"/>
    </row>
    <row r="47" spans="3:20" x14ac:dyDescent="0.25">
      <c r="C47" s="458">
        <v>6</v>
      </c>
      <c r="D47" s="459" t="str">
        <f>IFERROR(IF(OR(VALUE(AA13)=6,VALUE(AB13)=6,VALUE(AC13)=6,VALUE(AD13)=6,VALUE(AE13)=6,VALUE(AF13)=6),AO14,"NA"),"NA")</f>
        <v>NA</v>
      </c>
      <c r="E47" s="769"/>
      <c r="F47" s="770"/>
      <c r="G47" s="770"/>
      <c r="H47" s="771"/>
      <c r="I47" s="754"/>
      <c r="J47" s="755"/>
      <c r="M47" s="458">
        <v>6</v>
      </c>
      <c r="N47" s="459" t="str">
        <f>IFERROR(IF(OR(VALUE(AA14)=6,VALUE(AB14)=6,VALUE(AC14)=6,VALUE(AD14)=6,VALUE(AE14)=6,VALUE(AF14)=6),AO14,"NA"),"NA")</f>
        <v>NA</v>
      </c>
      <c r="O47" s="769"/>
      <c r="P47" s="770"/>
      <c r="Q47" s="770"/>
      <c r="R47" s="771"/>
      <c r="S47" s="754"/>
      <c r="T47" s="755"/>
    </row>
    <row r="48" spans="3:20" x14ac:dyDescent="0.25">
      <c r="C48" s="458">
        <v>7</v>
      </c>
      <c r="D48" s="459" t="str">
        <f>IFERROR(IF(OR(VALUE(AA13)=7,VALUE(AB13)=7,VALUE(AC13)=7,VALUE(AD13)=7,VALUE(AE13)=7,VALUE(AF13)=7,VALUE(AG13)=7),AO15,"NA"),"NA")</f>
        <v>NA</v>
      </c>
      <c r="E48" s="769"/>
      <c r="F48" s="770"/>
      <c r="G48" s="770"/>
      <c r="H48" s="771"/>
      <c r="I48" s="754"/>
      <c r="J48" s="755"/>
      <c r="M48" s="458">
        <v>7</v>
      </c>
      <c r="N48" s="459" t="str">
        <f>IFERROR(IF(OR(VALUE(AA14)=7,VALUE(AB14)=7,VALUE(AC14)=7,VALUE(AD14)=7,VALUE(AE14)=7,VALUE(AF14)=7,VALUE(AG14)=7),AO15,"NA"),"NA")</f>
        <v>NA</v>
      </c>
      <c r="O48" s="769"/>
      <c r="P48" s="770"/>
      <c r="Q48" s="770"/>
      <c r="R48" s="771"/>
      <c r="S48" s="754"/>
      <c r="T48" s="755"/>
    </row>
    <row r="49" spans="3:20" x14ac:dyDescent="0.25">
      <c r="C49" s="458">
        <v>8</v>
      </c>
      <c r="D49" s="459" t="str">
        <f>IFERROR(IF(OR(VALUE(AA13)=8,VALUE(AB13)=8,VALUE(AC13)=8,VALUE(AD13)=8,VALUE(AE13)=8,VALUE(AF13)=8,VALUE(AG13)=8,VALUE(AH13)=8),AO16,"NA"),"NA")</f>
        <v>NA</v>
      </c>
      <c r="E49" s="769"/>
      <c r="F49" s="770"/>
      <c r="G49" s="770"/>
      <c r="H49" s="771"/>
      <c r="I49" s="754"/>
      <c r="J49" s="755"/>
      <c r="M49" s="458">
        <v>8</v>
      </c>
      <c r="N49" s="459" t="str">
        <f>IFERROR(IF(OR(VALUE(AA14)=8,VALUE(AB14)=8,VALUE(AC14)=8,VALUE(AD14)=8,VALUE(AE14)=8,VALUE(AF14)=8,VALUE(AG14)=8,VALUE(AH14)=8),AO16,"NA"),"NA")</f>
        <v>NA</v>
      </c>
      <c r="O49" s="769"/>
      <c r="P49" s="770"/>
      <c r="Q49" s="770"/>
      <c r="R49" s="771"/>
      <c r="S49" s="754"/>
      <c r="T49" s="755"/>
    </row>
    <row r="50" spans="3:20" x14ac:dyDescent="0.25">
      <c r="C50" s="458">
        <v>9</v>
      </c>
      <c r="D50" s="459" t="str">
        <f>IFERROR(IF(OR(VALUE(AA13)=9,VALUE(AB13)=9,VALUE(AC13)=9,VALUE(AD13)=9,VALUE(AE13)=9,VALUE(AF13)=9,VALUE(AG13)=9,VALUE(AH13)=9,VALUE(AI13)=9),AO17,"NA"),"NA")</f>
        <v>NA</v>
      </c>
      <c r="E50" s="769"/>
      <c r="F50" s="770"/>
      <c r="G50" s="770"/>
      <c r="H50" s="771"/>
      <c r="I50" s="754"/>
      <c r="J50" s="755"/>
      <c r="M50" s="458">
        <v>9</v>
      </c>
      <c r="N50" s="459" t="str">
        <f>IFERROR(IF(OR(VALUE(AA14)=9,VALUE(AB14)=9,VALUE(AC14)=9,VALUE(AD14)=9,VALUE(AE14)=9,VALUE(AF14)=9,VALUE(AG14)=9,VALUE(AH14)=9,VALUE(AI14)=9),AO17,"NA"),"NA")</f>
        <v>NA</v>
      </c>
      <c r="O50" s="769"/>
      <c r="P50" s="770"/>
      <c r="Q50" s="770"/>
      <c r="R50" s="771"/>
      <c r="S50" s="754"/>
      <c r="T50" s="755"/>
    </row>
    <row r="51" spans="3:20" x14ac:dyDescent="0.25">
      <c r="C51" s="458">
        <v>10</v>
      </c>
      <c r="D51" s="459" t="str">
        <f>IFERROR(IF(OR(VALUE(AA13)=10,VALUE(AB13)=10,VALUE(AC13)=10,VALUE(AD13)=10,VALUE(AE13)=10,VALUE(AF13)=10,VALUE(AG13)=10,VALUE(AH13)=10,VALUE(AI13)=10,VALUE(AJ13)=10),AO18,"NA"),"NA")</f>
        <v>NA</v>
      </c>
      <c r="E51" s="769"/>
      <c r="F51" s="770"/>
      <c r="G51" s="770"/>
      <c r="H51" s="771"/>
      <c r="I51" s="754"/>
      <c r="J51" s="755"/>
      <c r="M51" s="458">
        <v>10</v>
      </c>
      <c r="N51" s="459" t="str">
        <f>IFERROR(IF(OR(VALUE(AA14)=10,VALUE(AB14)=10,VALUE(AC14)=10,VALUE(AD14)=10,VALUE(AE14)=10,VALUE(AF14)=10,VALUE(AG14)=10,VALUE(AH14)=10,VALUE(AI14)=10,VALUE(AJ14)=10),AO18,"NA"),"NA")</f>
        <v>NA</v>
      </c>
      <c r="O51" s="769"/>
      <c r="P51" s="770"/>
      <c r="Q51" s="770"/>
      <c r="R51" s="771"/>
      <c r="S51" s="754"/>
      <c r="T51" s="755"/>
    </row>
    <row r="52" spans="3:20" ht="15.75" thickBot="1" x14ac:dyDescent="0.3">
      <c r="C52" s="458">
        <v>11</v>
      </c>
      <c r="D52" s="459" t="str">
        <f>IFERROR(IF(OR(VALUE(AA13)=11,VALUE(AB13)=11,VALUE(AC13)=11,VALUE(AD13)=11,VALUE(AE13)=11,VALUE(AF13)=11,VALUE(AG13)=11,VALUE(AH13)=11,VALUE(AI13)=11,VALUE(AJ13)=11,VALUE(AK13)=11),AO19,"NA"),"NA")</f>
        <v>NA</v>
      </c>
      <c r="E52" s="769"/>
      <c r="F52" s="770"/>
      <c r="G52" s="770"/>
      <c r="H52" s="771"/>
      <c r="I52" s="754"/>
      <c r="J52" s="755"/>
      <c r="M52" s="458">
        <v>11</v>
      </c>
      <c r="N52" s="459" t="str">
        <f>IFERROR(IF(OR(VALUE(AA14)=11,VALUE(AB14)=11,VALUE(AC14)=11,VALUE(AD14)=11,VALUE(AE14)=11,VALUE(AF14)=11,VALUE(AG14)=11,VALUE(AH14)=11,VALUE(AI14)=11,VALUE(AJ14)=11,VALUE(AK14)=11),AO19,"NA"),"NA")</f>
        <v>NA</v>
      </c>
      <c r="O52" s="769"/>
      <c r="P52" s="770"/>
      <c r="Q52" s="770"/>
      <c r="R52" s="771"/>
      <c r="S52" s="754"/>
      <c r="T52" s="755"/>
    </row>
    <row r="53" spans="3:20" ht="15.75" thickBot="1" x14ac:dyDescent="0.3">
      <c r="C53" s="463">
        <v>12</v>
      </c>
      <c r="D53" s="464" t="str">
        <f>IFERROR(IF(OR(VALUE(AA13)=12,VALUE(AB13)=12,VALUE(AC13)=12,VALUE(AD13)=12,VALUE(AE13)=12,VALUE(AF13)=12,VALUE(AG13)=12,VALUE(AH13)=12,VALUE(AI13)=12,VALUE(AJ13)=12,VALUE(AK13)=12,VALUE(AL13)=12),AO20,"NA"),"NA")</f>
        <v>NA</v>
      </c>
      <c r="E53" s="772" t="s">
        <v>464</v>
      </c>
      <c r="F53" s="773"/>
      <c r="G53" s="773"/>
      <c r="H53" s="465" t="str">
        <f>IF(('ABET SO Analysis'!I69)="","NA",('ABET SO Analysis'!I69))</f>
        <v>NA</v>
      </c>
      <c r="I53" s="754"/>
      <c r="J53" s="755"/>
      <c r="M53" s="463">
        <v>12</v>
      </c>
      <c r="N53" s="464" t="str">
        <f>IFERROR(IF(OR(VALUE(AA14)=12,VALUE(AB14)=12,VALUE(AC14)=12,VALUE(AD14)=12,VALUE(AE14)=12,VALUE(AF14)=12,VALUE(AG14)=12,VALUE(AH14)=12,VALUE(AI14)=12,VALUE(AJ14)=12,VALUE(AK14)=12,VALUE(AL14)=12),AO20,"NA"),"NA")</f>
        <v>NA</v>
      </c>
      <c r="O53" s="772" t="s">
        <v>465</v>
      </c>
      <c r="P53" s="773"/>
      <c r="Q53" s="773"/>
      <c r="R53" s="465" t="str">
        <f>IF(('ABET SO Analysis'!I70)="","NA",('ABET SO Analysis'!I70))</f>
        <v>NA</v>
      </c>
      <c r="S53" s="754"/>
      <c r="T53" s="755"/>
    </row>
  </sheetData>
  <mergeCells count="37">
    <mergeCell ref="AA8:AJ8"/>
    <mergeCell ref="E11:H11"/>
    <mergeCell ref="E12:H22"/>
    <mergeCell ref="E23:G23"/>
    <mergeCell ref="I16:J23"/>
    <mergeCell ref="O11:R11"/>
    <mergeCell ref="O12:R22"/>
    <mergeCell ref="O23:Q23"/>
    <mergeCell ref="S14:T23"/>
    <mergeCell ref="E26:H26"/>
    <mergeCell ref="E27:H37"/>
    <mergeCell ref="E38:G38"/>
    <mergeCell ref="O26:R26"/>
    <mergeCell ref="O27:R37"/>
    <mergeCell ref="O38:Q38"/>
    <mergeCell ref="I30:J38"/>
    <mergeCell ref="E42:H52"/>
    <mergeCell ref="E53:G53"/>
    <mergeCell ref="O41:R41"/>
    <mergeCell ref="O42:R52"/>
    <mergeCell ref="O53:Q53"/>
    <mergeCell ref="S29:T38"/>
    <mergeCell ref="I44:J53"/>
    <mergeCell ref="S44:T53"/>
    <mergeCell ref="G1:L1"/>
    <mergeCell ref="G2:L2"/>
    <mergeCell ref="G3:L3"/>
    <mergeCell ref="G4:L4"/>
    <mergeCell ref="G5:L5"/>
    <mergeCell ref="G6:L6"/>
    <mergeCell ref="M1:O1"/>
    <mergeCell ref="M2:O2"/>
    <mergeCell ref="M3:O3"/>
    <mergeCell ref="M4:O4"/>
    <mergeCell ref="M5:O5"/>
    <mergeCell ref="M6:O6"/>
    <mergeCell ref="E41:H41"/>
  </mergeCells>
  <phoneticPr fontId="101" type="noConversion"/>
  <conditionalFormatting sqref="D12:D23">
    <cfRule type="cellIs" dxfId="53" priority="56" operator="equal">
      <formula>"NA"</formula>
    </cfRule>
    <cfRule type="cellIs" dxfId="52" priority="58" operator="lessThan">
      <formula>3.5</formula>
    </cfRule>
    <cfRule type="cellIs" dxfId="51" priority="57" operator="greaterThanOrEqual">
      <formula>3.5</formula>
    </cfRule>
  </conditionalFormatting>
  <conditionalFormatting sqref="D27:D38">
    <cfRule type="cellIs" dxfId="50" priority="44" operator="lessThan">
      <formula>3.5</formula>
    </cfRule>
    <cfRule type="cellIs" dxfId="49" priority="43" operator="greaterThanOrEqual">
      <formula>3.5</formula>
    </cfRule>
    <cfRule type="cellIs" dxfId="48" priority="42" operator="equal">
      <formula>"NA"</formula>
    </cfRule>
  </conditionalFormatting>
  <conditionalFormatting sqref="D42:D53">
    <cfRule type="cellIs" dxfId="47" priority="28" operator="equal">
      <formula>"NA"</formula>
    </cfRule>
    <cfRule type="cellIs" dxfId="46" priority="29" operator="greaterThanOrEqual">
      <formula>3.5</formula>
    </cfRule>
    <cfRule type="cellIs" dxfId="45" priority="30" operator="lessThan">
      <formula>3.5</formula>
    </cfRule>
  </conditionalFormatting>
  <conditionalFormatting sqref="H23">
    <cfRule type="cellIs" dxfId="44" priority="53" operator="lessThan">
      <formula>3.5</formula>
    </cfRule>
    <cfRule type="cellIs" dxfId="43" priority="6" operator="equal">
      <formula>"NA"</formula>
    </cfRule>
    <cfRule type="cellIs" dxfId="42" priority="52" operator="greaterThanOrEqual">
      <formula>3.5</formula>
    </cfRule>
  </conditionalFormatting>
  <conditionalFormatting sqref="H38">
    <cfRule type="cellIs" dxfId="41" priority="4" operator="equal">
      <formula>"NA"</formula>
    </cfRule>
    <cfRule type="cellIs" dxfId="40" priority="38" operator="greaterThanOrEqual">
      <formula>3.5</formula>
    </cfRule>
    <cfRule type="cellIs" dxfId="39" priority="39" operator="lessThan">
      <formula>3.5</formula>
    </cfRule>
  </conditionalFormatting>
  <conditionalFormatting sqref="H53">
    <cfRule type="cellIs" dxfId="38" priority="25" operator="lessThan">
      <formula>3.5</formula>
    </cfRule>
    <cfRule type="cellIs" dxfId="37" priority="2" operator="equal">
      <formula>"NA"</formula>
    </cfRule>
    <cfRule type="cellIs" dxfId="36" priority="24" operator="greaterThanOrEqual">
      <formula>3.5</formula>
    </cfRule>
  </conditionalFormatting>
  <conditionalFormatting sqref="J12:J15">
    <cfRule type="cellIs" dxfId="35" priority="55" operator="lessThan">
      <formula>3.5</formula>
    </cfRule>
    <cfRule type="cellIs" dxfId="34" priority="54" operator="greaterThanOrEqual">
      <formula>3.5</formula>
    </cfRule>
    <cfRule type="cellIs" dxfId="33" priority="12" operator="equal">
      <formula>"NA"</formula>
    </cfRule>
  </conditionalFormatting>
  <conditionalFormatting sqref="J27:J29">
    <cfRule type="cellIs" dxfId="32" priority="41" operator="lessThan">
      <formula>3.5</formula>
    </cfRule>
    <cfRule type="cellIs" dxfId="31" priority="40" operator="greaterThanOrEqual">
      <formula>3.5</formula>
    </cfRule>
    <cfRule type="cellIs" dxfId="30" priority="10" operator="equal">
      <formula>"NA"</formula>
    </cfRule>
  </conditionalFormatting>
  <conditionalFormatting sqref="J42:J43">
    <cfRule type="cellIs" dxfId="29" priority="16" operator="lessThan">
      <formula>3.5</formula>
    </cfRule>
    <cfRule type="cellIs" dxfId="28" priority="8" operator="equal">
      <formula>"NA"</formula>
    </cfRule>
    <cfRule type="cellIs" dxfId="27" priority="15" operator="greaterThanOrEqual">
      <formula>3.5</formula>
    </cfRule>
  </conditionalFormatting>
  <conditionalFormatting sqref="N12:N23">
    <cfRule type="cellIs" dxfId="26" priority="51" operator="lessThan">
      <formula>3.5</formula>
    </cfRule>
    <cfRule type="cellIs" dxfId="25" priority="50" operator="greaterThanOrEqual">
      <formula>3.5</formula>
    </cfRule>
    <cfRule type="cellIs" dxfId="24" priority="49" operator="equal">
      <formula>"NA"</formula>
    </cfRule>
  </conditionalFormatting>
  <conditionalFormatting sqref="N27:N38">
    <cfRule type="cellIs" dxfId="23" priority="35" operator="equal">
      <formula>"NA"</formula>
    </cfRule>
    <cfRule type="cellIs" dxfId="22" priority="36" operator="greaterThanOrEqual">
      <formula>3.5</formula>
    </cfRule>
    <cfRule type="cellIs" dxfId="21" priority="37" operator="lessThan">
      <formula>3.5</formula>
    </cfRule>
  </conditionalFormatting>
  <conditionalFormatting sqref="N42:N53">
    <cfRule type="cellIs" dxfId="20" priority="21" operator="equal">
      <formula>"NA"</formula>
    </cfRule>
    <cfRule type="cellIs" dxfId="19" priority="22" operator="greaterThanOrEqual">
      <formula>3.5</formula>
    </cfRule>
    <cfRule type="cellIs" dxfId="18" priority="23" operator="lessThan">
      <formula>3.5</formula>
    </cfRule>
  </conditionalFormatting>
  <conditionalFormatting sqref="R23">
    <cfRule type="cellIs" dxfId="17" priority="46" operator="lessThan">
      <formula>3.5</formula>
    </cfRule>
    <cfRule type="cellIs" dxfId="16" priority="45" operator="greaterThanOrEqual">
      <formula>3.5</formula>
    </cfRule>
    <cfRule type="cellIs" dxfId="15" priority="5" operator="equal">
      <formula>"NA"</formula>
    </cfRule>
  </conditionalFormatting>
  <conditionalFormatting sqref="R38">
    <cfRule type="cellIs" dxfId="14" priority="31" operator="greaterThanOrEqual">
      <formula>3.5</formula>
    </cfRule>
    <cfRule type="cellIs" dxfId="13" priority="3" operator="equal">
      <formula>"NA"</formula>
    </cfRule>
    <cfRule type="cellIs" dxfId="12" priority="32" operator="lessThan">
      <formula>3.5</formula>
    </cfRule>
  </conditionalFormatting>
  <conditionalFormatting sqref="R53">
    <cfRule type="cellIs" dxfId="11" priority="18" operator="lessThan">
      <formula>3.5</formula>
    </cfRule>
    <cfRule type="cellIs" dxfId="10" priority="17" operator="greaterThanOrEqual">
      <formula>3.5</formula>
    </cfRule>
    <cfRule type="cellIs" dxfId="9" priority="1" operator="equal">
      <formula>"NA"</formula>
    </cfRule>
  </conditionalFormatting>
  <conditionalFormatting sqref="T12:T13">
    <cfRule type="cellIs" dxfId="8" priority="47" operator="greaterThanOrEqual">
      <formula>3.5</formula>
    </cfRule>
    <cfRule type="cellIs" dxfId="7" priority="48" operator="lessThan">
      <formula>3.5</formula>
    </cfRule>
    <cfRule type="cellIs" dxfId="6" priority="11" operator="equal">
      <formula>"NA"</formula>
    </cfRule>
  </conditionalFormatting>
  <conditionalFormatting sqref="T27:T28">
    <cfRule type="cellIs" dxfId="5" priority="34" operator="lessThan">
      <formula>3.5</formula>
    </cfRule>
    <cfRule type="cellIs" dxfId="4" priority="33" operator="greaterThanOrEqual">
      <formula>3.5</formula>
    </cfRule>
    <cfRule type="cellIs" dxfId="3" priority="9" operator="equal">
      <formula>"NA"</formula>
    </cfRule>
  </conditionalFormatting>
  <conditionalFormatting sqref="T42:T43">
    <cfRule type="cellIs" dxfId="2" priority="14" operator="lessThan">
      <formula>3.5</formula>
    </cfRule>
    <cfRule type="cellIs" dxfId="1" priority="13" operator="greaterThanOrEqual">
      <formula>3.5</formula>
    </cfRule>
    <cfRule type="cellIs" dxfId="0" priority="7" operator="equal">
      <formula>"NA"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2E440B78E1EF41A572BDF13DB68A93" ma:contentTypeVersion="13" ma:contentTypeDescription="Create a new document." ma:contentTypeScope="" ma:versionID="1ed90fed7b61e3704ac2904467e9be3c">
  <xsd:schema xmlns:xsd="http://www.w3.org/2001/XMLSchema" xmlns:xs="http://www.w3.org/2001/XMLSchema" xmlns:p="http://schemas.microsoft.com/office/2006/metadata/properties" xmlns:ns3="05f1776c-4801-4d39-ad48-80007d974490" xmlns:ns4="96afda84-82e6-4e21-8f81-438759c5b587" targetNamespace="http://schemas.microsoft.com/office/2006/metadata/properties" ma:root="true" ma:fieldsID="e0e6cfe095064b7d57a28f1e019fae34" ns3:_="" ns4:_="">
    <xsd:import namespace="05f1776c-4801-4d39-ad48-80007d974490"/>
    <xsd:import namespace="96afda84-82e6-4e21-8f81-438759c5b5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1776c-4801-4d39-ad48-80007d974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fda84-82e6-4e21-8f81-438759c5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ED6C66-8AFE-4BA6-A38D-FF2AA52D63EA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05f1776c-4801-4d39-ad48-80007d974490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6afda84-82e6-4e21-8f81-438759c5b587"/>
  </ds:schemaRefs>
</ds:datastoreItem>
</file>

<file path=customXml/itemProps2.xml><?xml version="1.0" encoding="utf-8"?>
<ds:datastoreItem xmlns:ds="http://schemas.openxmlformats.org/officeDocument/2006/customXml" ds:itemID="{C3A62FA8-74A1-4778-8DF0-7DDBFC34E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1776c-4801-4d39-ad48-80007d974490"/>
    <ds:schemaRef ds:uri="96afda84-82e6-4e21-8f81-438759c5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496E6A-C7D2-43FF-9119-3A2C0CD355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</vt:i4>
      </vt:variant>
    </vt:vector>
  </HeadingPairs>
  <TitlesOfParts>
    <vt:vector size="33" baseType="lpstr">
      <vt:lpstr>Instructions</vt:lpstr>
      <vt:lpstr>Course Information</vt:lpstr>
      <vt:lpstr>Students Names and ID</vt:lpstr>
      <vt:lpstr>Homework</vt:lpstr>
      <vt:lpstr>Quizzes</vt:lpstr>
      <vt:lpstr>Laboratory</vt:lpstr>
      <vt:lpstr>Laboratory Final</vt:lpstr>
      <vt:lpstr>Midterm 1</vt:lpstr>
      <vt:lpstr>Midterm 2</vt:lpstr>
      <vt:lpstr>Project</vt:lpstr>
      <vt:lpstr>Final Exam</vt:lpstr>
      <vt:lpstr>Incomplete Final</vt:lpstr>
      <vt:lpstr>Overall Grades</vt:lpstr>
      <vt:lpstr>Curved Overall Grades</vt:lpstr>
      <vt:lpstr>Students Survey</vt:lpstr>
      <vt:lpstr>Course Analysis</vt:lpstr>
      <vt:lpstr>Course Report</vt:lpstr>
      <vt:lpstr>Course Syllabus</vt:lpstr>
      <vt:lpstr>Grading Policy</vt:lpstr>
      <vt:lpstr>ABET SO Analysis</vt:lpstr>
      <vt:lpstr>PI Improvement Report</vt:lpstr>
      <vt:lpstr>SO-CLO Summary</vt:lpstr>
      <vt:lpstr>'Course Analysis'!Print_Area</vt:lpstr>
      <vt:lpstr>'Course Information'!Print_Area</vt:lpstr>
      <vt:lpstr>'Course Report'!Print_Area</vt:lpstr>
      <vt:lpstr>Homework!Print_Area</vt:lpstr>
      <vt:lpstr>Laboratory!Print_Area</vt:lpstr>
      <vt:lpstr>'Laboratory Final'!Print_Area</vt:lpstr>
      <vt:lpstr>'Midterm 1'!Print_Area</vt:lpstr>
      <vt:lpstr>'Overall Grades'!Print_Area</vt:lpstr>
      <vt:lpstr>Project!Print_Area</vt:lpstr>
      <vt:lpstr>Quizzes!Print_Area</vt:lpstr>
      <vt:lpstr>'Students Names and ID'!Print_Area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murad.alshibli</dc:creator>
  <cp:lastModifiedBy>Rasha H.A.Tabasha</cp:lastModifiedBy>
  <cp:lastPrinted>2022-01-11T07:03:37Z</cp:lastPrinted>
  <dcterms:created xsi:type="dcterms:W3CDTF">2011-07-24T07:44:28Z</dcterms:created>
  <dcterms:modified xsi:type="dcterms:W3CDTF">2025-09-23T10:25:59Z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0x0101000D2E440B78E1EF41A572BDF13DB68A93</vt:lpwstr>
  </property>
</Properties>
</file>